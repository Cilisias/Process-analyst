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Глушенко Марина\Desktop\Платформа Медиа 2527\"/>
    </mc:Choice>
  </mc:AlternateContent>
  <xr:revisionPtr revIDLastSave="0" documentId="13_ncr:1_{282AD4BA-9692-43AC-A9F1-9A60E82BCF8A}" xr6:coauthVersionLast="47" xr6:coauthVersionMax="47" xr10:uidLastSave="{00000000-0000-0000-0000-000000000000}"/>
  <bookViews>
    <workbookView xWindow="-108" yWindow="-108" windowWidth="23256" windowHeight="12576" activeTab="1" xr2:uid="{DD30A495-8E7C-44BC-8666-0EB90959B3A5}"/>
  </bookViews>
  <sheets>
    <sheet name="выдержка" sheetId="14" r:id="rId1"/>
    <sheet name="670. Senior разработчик БД" sheetId="18" r:id="rId2"/>
  </sheets>
  <definedNames>
    <definedName name="_xlnm._FilterDatabase" localSheetId="1" hidden="1">'670. Senior разработчик БД'!$A$3:$J$31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4" l="1"/>
  <c r="B2" i="14"/>
  <c r="C48" i="18"/>
  <c r="C47" i="18" l="1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E30" i="18"/>
  <c r="H30" i="18" s="1"/>
  <c r="H31" i="18" s="1"/>
  <c r="E47" i="18" s="1"/>
  <c r="E28" i="18"/>
  <c r="E26" i="18"/>
  <c r="H26" i="18" s="1"/>
  <c r="H27" i="18" s="1"/>
  <c r="E45" i="18" s="1"/>
  <c r="E24" i="18"/>
  <c r="H24" i="18" s="1"/>
  <c r="H25" i="18" s="1"/>
  <c r="E44" i="18" s="1"/>
  <c r="E22" i="18"/>
  <c r="H22" i="18" s="1"/>
  <c r="H23" i="18" s="1"/>
  <c r="E43" i="18" s="1"/>
  <c r="E20" i="18"/>
  <c r="H20" i="18" s="1"/>
  <c r="H21" i="18" s="1"/>
  <c r="E42" i="18" s="1"/>
  <c r="E18" i="18"/>
  <c r="H18" i="18" s="1"/>
  <c r="H19" i="18" s="1"/>
  <c r="E41" i="18" s="1"/>
  <c r="E16" i="18"/>
  <c r="H16" i="18" s="1"/>
  <c r="H17" i="18" s="1"/>
  <c r="E40" i="18" s="1"/>
  <c r="E14" i="18"/>
  <c r="H14" i="18" s="1"/>
  <c r="H15" i="18" s="1"/>
  <c r="E39" i="18" s="1"/>
  <c r="E12" i="18"/>
  <c r="H12" i="18" s="1"/>
  <c r="H13" i="18" s="1"/>
  <c r="E38" i="18" s="1"/>
  <c r="E10" i="18"/>
  <c r="H10" i="18" s="1"/>
  <c r="H11" i="18" s="1"/>
  <c r="E37" i="18" s="1"/>
  <c r="E8" i="18"/>
  <c r="E6" i="18"/>
  <c r="E4" i="18"/>
  <c r="H28" i="18"/>
  <c r="H29" i="18" s="1"/>
  <c r="E46" i="18" s="1"/>
  <c r="K29" i="18" l="1"/>
  <c r="K21" i="18"/>
  <c r="K23" i="18"/>
  <c r="K27" i="18"/>
  <c r="K31" i="18"/>
  <c r="K25" i="18"/>
  <c r="K15" i="18"/>
  <c r="K19" i="18"/>
  <c r="K17" i="18"/>
  <c r="K13" i="18"/>
  <c r="K11" i="18"/>
  <c r="L31" i="18" l="1"/>
  <c r="F47" i="18"/>
  <c r="L29" i="18"/>
  <c r="F46" i="18"/>
  <c r="L27" i="18"/>
  <c r="F45" i="18"/>
  <c r="L25" i="18"/>
  <c r="F44" i="18"/>
  <c r="L23" i="18"/>
  <c r="F43" i="18"/>
  <c r="L21" i="18"/>
  <c r="F42" i="18"/>
  <c r="L19" i="18"/>
  <c r="F41" i="18"/>
  <c r="L17" i="18"/>
  <c r="F40" i="18"/>
  <c r="L15" i="18"/>
  <c r="F39" i="18"/>
  <c r="L13" i="18"/>
  <c r="F38" i="18"/>
  <c r="L11" i="18"/>
  <c r="F37" i="18"/>
  <c r="H8" i="18"/>
  <c r="H9" i="18" s="1"/>
  <c r="E36" i="18" s="1"/>
  <c r="H6" i="18"/>
  <c r="H7" i="18" s="1"/>
  <c r="E35" i="18" s="1"/>
  <c r="H4" i="18"/>
  <c r="H5" i="18" s="1"/>
  <c r="E34" i="18" s="1"/>
  <c r="J31" i="18" l="1"/>
  <c r="D47" i="18" s="1"/>
  <c r="G47" i="18"/>
  <c r="J29" i="18"/>
  <c r="D46" i="18" s="1"/>
  <c r="G46" i="18"/>
  <c r="J27" i="18"/>
  <c r="D45" i="18" s="1"/>
  <c r="G45" i="18"/>
  <c r="J25" i="18"/>
  <c r="D44" i="18" s="1"/>
  <c r="G44" i="18"/>
  <c r="J23" i="18"/>
  <c r="D43" i="18" s="1"/>
  <c r="G43" i="18"/>
  <c r="J21" i="18"/>
  <c r="D42" i="18" s="1"/>
  <c r="G42" i="18"/>
  <c r="J19" i="18"/>
  <c r="D41" i="18" s="1"/>
  <c r="G41" i="18"/>
  <c r="J17" i="18"/>
  <c r="D40" i="18" s="1"/>
  <c r="G40" i="18"/>
  <c r="J15" i="18"/>
  <c r="D39" i="18" s="1"/>
  <c r="G39" i="18"/>
  <c r="J13" i="18"/>
  <c r="D38" i="18" s="1"/>
  <c r="G38" i="18"/>
  <c r="J11" i="18"/>
  <c r="D37" i="18" s="1"/>
  <c r="G37" i="18"/>
  <c r="E48" i="18"/>
  <c r="D2" i="14" s="1"/>
  <c r="D3" i="14" s="1"/>
  <c r="K5" i="18"/>
  <c r="F34" i="18" s="1"/>
  <c r="K7" i="18"/>
  <c r="F35" i="18" s="1"/>
  <c r="K9" i="18"/>
  <c r="F36" i="18" s="1"/>
  <c r="F48" i="18" l="1"/>
  <c r="E2" i="14" s="1"/>
  <c r="E3" i="14" s="1"/>
  <c r="L5" i="18"/>
  <c r="G34" i="18" s="1"/>
  <c r="L7" i="18"/>
  <c r="G35" i="18" s="1"/>
  <c r="L9" i="18"/>
  <c r="G36" i="18" s="1"/>
  <c r="G48" i="18" l="1"/>
  <c r="F2" i="14" s="1"/>
  <c r="F3" i="14" s="1"/>
  <c r="J7" i="18"/>
  <c r="D35" i="18" s="1"/>
  <c r="J5" i="18"/>
  <c r="D34" i="18" s="1"/>
  <c r="J9" i="18"/>
  <c r="D36" i="18" s="1"/>
  <c r="D48" i="18" l="1"/>
  <c r="C2" i="14" s="1"/>
  <c r="C3" i="14" s="1"/>
</calcChain>
</file>

<file path=xl/sharedStrings.xml><?xml version="1.0" encoding="utf-8"?>
<sst xmlns="http://schemas.openxmlformats.org/spreadsheetml/2006/main" count="102" uniqueCount="53">
  <si>
    <t>Заложено в ФП</t>
  </si>
  <si>
    <t>Ставка</t>
  </si>
  <si>
    <t>Часы ФАКТ</t>
  </si>
  <si>
    <t>Специалист</t>
  </si>
  <si>
    <t>Месяц выполнения работ</t>
  </si>
  <si>
    <t>Часы ПЛАН</t>
  </si>
  <si>
    <t>5% овертаймы</t>
  </si>
  <si>
    <t>Месяц</t>
  </si>
  <si>
    <t>Подрядчик</t>
  </si>
  <si>
    <t>Было</t>
  </si>
  <si>
    <t>Сумма изменений</t>
  </si>
  <si>
    <t>Норма часов</t>
  </si>
  <si>
    <t>Загрузка по респлану</t>
  </si>
  <si>
    <t>Итого с овертаймами</t>
  </si>
  <si>
    <t>Итого без овертаймов</t>
  </si>
  <si>
    <t>Стало без овертаймов</t>
  </si>
  <si>
    <t>Стало с овертаймами</t>
  </si>
  <si>
    <t>Овертаймы</t>
  </si>
  <si>
    <t>Итого:</t>
  </si>
  <si>
    <t>Роль</t>
  </si>
  <si>
    <t>Комментарий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</si>
  <si>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</si>
  <si>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</si>
  <si>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</si>
  <si>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</si>
  <si>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</si>
  <si>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</si>
  <si>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</si>
  <si>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</si>
  <si>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</si>
  <si>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</si>
  <si>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</si>
  <si>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</si>
  <si>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11.2024</t>
  </si>
  <si>
    <t>12.2024</t>
  </si>
  <si>
    <t>Вакансия 670. Senior разработчик БД</t>
  </si>
  <si>
    <t>Senior разработчик БД</t>
  </si>
  <si>
    <t>ИТОГО Февраль 25</t>
  </si>
  <si>
    <t>ИТОГО Март 25</t>
  </si>
  <si>
    <t>ИТОГО Апрель  25</t>
  </si>
  <si>
    <t>ИТОГО Январь 25</t>
  </si>
  <si>
    <t>ИТОГО Май 25</t>
  </si>
  <si>
    <t>ИТОГО Июнь 25</t>
  </si>
  <si>
    <t>ИТОГО Июль 25</t>
  </si>
  <si>
    <t>ИТОГО Август 25</t>
  </si>
  <si>
    <t>ИТОГО Сентябрь 25</t>
  </si>
  <si>
    <t>ИТОГО Октябрь 25</t>
  </si>
  <si>
    <t>ИТОГО Ноябрь 25</t>
  </si>
  <si>
    <t>ИТОГО Декабрь 25</t>
  </si>
  <si>
    <t>ИТОГО Ноябрь 24</t>
  </si>
  <si>
    <t>ИТОГО Декабрь 24</t>
  </si>
  <si>
    <t xml:space="preserve">Овертаймы 5% </t>
  </si>
  <si>
    <t>Подрядчик T&amp;M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</si>
</sst>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\ _₽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9"/>
      <color theme="1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b/>
      <sz val="9"/>
      <name val="Arial"/>
      <family val="2"/>
      <charset val="204"/>
    </font>
    <font>
      <b/>
      <sz val="9"/>
      <color rgb="FF172B4D"/>
      <name val="Calibri"/>
      <family val="2"/>
      <charset val="204"/>
      <scheme val="minor"/>
    </font>
    <font>
      <b/>
      <sz val="9"/>
      <color rgb="FFFF0000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1" xfId="0" applyFont="1" applyBorder="1"/>
    <xf numFmtId="0" fontId="5" fillId="0" borderId="1" xfId="0" applyFont="1" applyBorder="1"/>
    <xf numFmtId="164" fontId="2" fillId="0" borderId="1" xfId="0" applyNumberFormat="1" applyFont="1" applyBorder="1"/>
    <xf numFmtId="4" fontId="0" fillId="0" borderId="0" xfId="0" applyNumberFormat="1"/>
    <xf numFmtId="4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4" fontId="4" fillId="0" borderId="1" xfId="0" applyNumberFormat="1" applyFont="1" applyBorder="1"/>
    <xf numFmtId="164" fontId="7" fillId="0" borderId="1" xfId="0" applyNumberFormat="1" applyFont="1" applyBorder="1"/>
    <xf numFmtId="14" fontId="9" fillId="5" borderId="1" xfId="4" quotePrefix="1" applyNumberFormat="1" applyFont="1" applyFill="1" applyBorder="1" applyAlignment="1" applyProtection="1">
      <alignment horizontal="center" vertical="center" textRotation="90"/>
      <protection locked="0"/>
    </xf>
    <xf numFmtId="0" fontId="10" fillId="0" borderId="0" xfId="0" applyFont="1"/>
    <xf numFmtId="0" fontId="11" fillId="6" borderId="1" xfId="5" applyNumberFormat="1" applyFont="1" applyFill="1" applyBorder="1" applyAlignment="1" applyProtection="1">
      <alignment horizontal="center"/>
      <protection locked="0"/>
    </xf>
    <xf numFmtId="0" fontId="12" fillId="0" borderId="1" xfId="0" applyFont="1" applyBorder="1"/>
    <xf numFmtId="0" fontId="12" fillId="3" borderId="1" xfId="0" applyFont="1" applyFill="1" applyBorder="1"/>
    <xf numFmtId="0" fontId="12" fillId="2" borderId="1" xfId="0" applyFont="1" applyFill="1" applyBorder="1"/>
    <xf numFmtId="0" fontId="13" fillId="0" borderId="1" xfId="0" applyFont="1" applyBorder="1"/>
    <xf numFmtId="17" fontId="10" fillId="4" borderId="1" xfId="0" applyNumberFormat="1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9" fontId="10" fillId="0" borderId="1" xfId="3" applyFont="1" applyBorder="1" applyAlignment="1">
      <alignment vertical="center" wrapText="1"/>
    </xf>
    <xf numFmtId="1" fontId="10" fillId="0" borderId="1" xfId="0" applyNumberFormat="1" applyFont="1" applyBorder="1" applyAlignment="1">
      <alignment vertical="center" wrapText="1"/>
    </xf>
    <xf numFmtId="1" fontId="8" fillId="0" borderId="1" xfId="1" applyNumberFormat="1" applyFont="1" applyBorder="1"/>
    <xf numFmtId="0" fontId="10" fillId="0" borderId="1" xfId="0" applyFont="1" applyBorder="1"/>
    <xf numFmtId="164" fontId="10" fillId="0" borderId="1" xfId="0" applyNumberFormat="1" applyFont="1" applyBorder="1"/>
    <xf numFmtId="0" fontId="10" fillId="0" borderId="2" xfId="0" applyFont="1" applyBorder="1"/>
    <xf numFmtId="164" fontId="14" fillId="0" borderId="1" xfId="0" applyNumberFormat="1" applyFont="1" applyBorder="1"/>
    <xf numFmtId="0" fontId="10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9" fontId="10" fillId="3" borderId="1" xfId="3" applyFont="1" applyFill="1" applyBorder="1" applyAlignment="1">
      <alignment vertical="center" wrapText="1"/>
    </xf>
    <xf numFmtId="1" fontId="8" fillId="3" borderId="1" xfId="0" applyNumberFormat="1" applyFont="1" applyFill="1" applyBorder="1" applyAlignment="1">
      <alignment vertical="center" wrapText="1"/>
    </xf>
    <xf numFmtId="1" fontId="8" fillId="3" borderId="1" xfId="1" applyNumberFormat="1" applyFont="1" applyFill="1" applyBorder="1"/>
    <xf numFmtId="0" fontId="8" fillId="3" borderId="1" xfId="0" applyFont="1" applyFill="1" applyBorder="1"/>
    <xf numFmtId="164" fontId="8" fillId="3" borderId="1" xfId="0" applyNumberFormat="1" applyFont="1" applyFill="1" applyBorder="1"/>
    <xf numFmtId="4" fontId="8" fillId="2" borderId="1" xfId="0" applyNumberFormat="1" applyFont="1" applyFill="1" applyBorder="1"/>
    <xf numFmtId="164" fontId="13" fillId="0" borderId="1" xfId="0" applyNumberFormat="1" applyFont="1" applyBorder="1"/>
    <xf numFmtId="4" fontId="10" fillId="0" borderId="0" xfId="0" applyNumberFormat="1" applyFont="1"/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164" fontId="15" fillId="0" borderId="1" xfId="0" applyNumberFormat="1" applyFont="1" applyBorder="1"/>
    <xf numFmtId="164" fontId="8" fillId="0" borderId="1" xfId="0" applyNumberFormat="1" applyFont="1" applyBorder="1"/>
    <xf numFmtId="17" fontId="10" fillId="0" borderId="1" xfId="0" applyNumberFormat="1" applyFont="1" applyFill="1" applyBorder="1" applyAlignment="1">
      <alignment vertical="center" wrapText="1"/>
    </xf>
  </cellXfs>
  <cellStyles count="6">
    <cellStyle name="Обычный" xfId="0" builtinId="0"/>
    <cellStyle name="Обычный 3" xfId="2" xr:uid="{7F815BFC-AAAE-45B9-8CC6-85B937ACBF7E}"/>
    <cellStyle name="Обычный 5 2 2" xfId="4" xr:uid="{600EE796-72BE-4F0A-A9D1-13AAB2C6F4D0}"/>
    <cellStyle name="Процентный" xfId="3" builtinId="5"/>
    <cellStyle name="Процентный 2 2" xfId="5" xr:uid="{A6100430-0818-48D6-B7DC-26583D1964FE}"/>
    <cellStyle name="Финансовый" xfId="1" builtinId="3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86D5-CF36-41EB-88F3-DF96AA697762}">
  <dimension ref="A1:F8"/>
  <sheetViews>
    <sheetView workbookViewId="0">
      <selection sqref="A1:F3"/>
    </sheetView>
  </sheetViews>
  <sheetFormatPr defaultRowHeight="14.4" x14ac:dyDescent="0.3"/>
  <cols>
    <col min="1" max="1" width="31.33203125" bestFit="1" customWidth="1"/>
    <col min="2" max="2" width="13.44140625" customWidth="1"/>
    <col min="3" max="3" width="19.88671875" customWidth="1"/>
    <col min="4" max="4" width="19.33203125" bestFit="1" customWidth="1"/>
    <col min="5" max="5" width="13.109375" bestFit="1" customWidth="1"/>
    <col min="6" max="6" width="18.6640625" bestFit="1" customWidth="1"/>
  </cols>
  <sheetData>
    <row r="1" spans="1:6" x14ac:dyDescent="0.3">
      <c r="A1" s="2" t="s">
        <v>52</v>
      </c>
      <c r="B1" s="2" t="s">
        <v>9</v>
      </c>
      <c r="C1" s="2" t="s">
        <v>10</v>
      </c>
      <c r="D1" s="2" t="s">
        <v>15</v>
      </c>
      <c r="E1" s="2" t="s">
        <v>17</v>
      </c>
      <c r="F1" s="2" t="s">
        <v>16</v>
      </c>
    </row>
    <row r="2" spans="1:6" x14ac:dyDescent="0.3">
      <c r="A2" s="1" t="s">
        <v>35</v>
      </c>
      <c r="B2" s="5">
        <f>'670. Senior разработчик БД'!C48</f>
        <v>0</v>
      </c>
      <c r="C2" s="8">
        <f>'670. Senior разработчик БД'!D48</f>
        <v>2576968.6004999992</v>
      </c>
      <c r="D2" s="3">
        <f>'670. Senior разработчик БД'!E48</f>
        <v>2454255.81</v>
      </c>
      <c r="E2" s="3">
        <f>'670. Senior разработчик БД'!F48</f>
        <v>122712.79050000003</v>
      </c>
      <c r="F2" s="3">
        <f>'670. Senior разработчик БД'!G48</f>
        <v>2576968.6004999992</v>
      </c>
    </row>
    <row r="3" spans="1:6" x14ac:dyDescent="0.3">
      <c r="A3" s="6" t="s">
        <v>18</v>
      </c>
      <c r="B3" s="7">
        <f>B2</f>
        <v>0</v>
      </c>
      <c r="C3" s="8">
        <f>C2</f>
        <v>2576968.6004999992</v>
      </c>
      <c r="D3" s="8">
        <f>D2</f>
        <v>2454255.81</v>
      </c>
      <c r="E3" s="8">
        <f>E2</f>
        <v>122712.79050000003</v>
      </c>
      <c r="F3" s="8">
        <f>F2</f>
        <v>2576968.6004999992</v>
      </c>
    </row>
    <row r="8" spans="1:6" x14ac:dyDescent="0.3">
      <c r="B8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36381-937A-4EA8-90C7-86221B728147}">
  <dimension ref="A1:O51"/>
  <sheetViews>
    <sheetView tabSelected="1" zoomScaleNormal="100" workbookViewId="0">
      <selection activeCell="B2" sqref="B2"/>
    </sheetView>
  </sheetViews>
  <sheetFormatPr defaultRowHeight="12" x14ac:dyDescent="0.25"/>
  <cols>
    <col min="1" max="1" width="10.5546875" style="10" customWidth="1"/>
    <col min="2" max="2" width="28.109375" style="10" customWidth="1"/>
    <col min="3" max="3" width="17" style="10" customWidth="1"/>
    <col min="4" max="4" width="16.44140625" style="10" customWidth="1"/>
    <col min="5" max="5" width="19.33203125" style="10" customWidth="1"/>
    <col min="6" max="6" width="14.33203125" style="10" customWidth="1"/>
    <col min="7" max="7" width="18" style="10" customWidth="1"/>
    <col min="8" max="8" width="18.6640625" style="10" customWidth="1"/>
    <col min="9" max="9" width="17.6640625" style="10" customWidth="1"/>
    <col min="10" max="10" width="16.33203125" style="10" customWidth="1"/>
    <col min="11" max="11" width="13.5546875" style="10" customWidth="1"/>
    <col min="12" max="12" width="17.33203125" style="10" customWidth="1"/>
    <col min="13" max="13" width="14.109375" style="10" bestFit="1" customWidth="1"/>
    <col min="14" max="16384" width="8.88671875" style="10"/>
  </cols>
  <sheetData>
    <row r="1" spans="1:15" ht="35.4" x14ac:dyDescent="0.25">
      <c r="A1" s="9" t="s">
        <v>7</v>
      </c>
      <c r="B1" s="9" t="s">
        <v>33</v>
      </c>
      <c r="C1" s="9" t="s">
        <v>34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  <c r="J1" s="9" t="s">
        <v>27</v>
      </c>
      <c r="K1" s="9" t="s">
        <v>28</v>
      </c>
      <c r="L1" s="9" t="s">
        <v>29</v>
      </c>
      <c r="M1" s="9" t="s">
        <v>30</v>
      </c>
      <c r="N1" s="9" t="s">
        <v>31</v>
      </c>
      <c r="O1" s="9" t="s">
        <v>32</v>
      </c>
    </row>
    <row r="2" spans="1:15" x14ac:dyDescent="0.25">
      <c r="A2" s="11" t="s">
        <v>11</v>
      </c>
      <c r="B2" s="11">
        <v>167</v>
      </c>
      <c r="C2" s="11">
        <v>168</v>
      </c>
      <c r="D2" s="11">
        <v>136</v>
      </c>
      <c r="E2" s="11">
        <v>160</v>
      </c>
      <c r="F2" s="11">
        <v>167</v>
      </c>
      <c r="G2" s="11">
        <v>175</v>
      </c>
      <c r="H2" s="11">
        <v>144</v>
      </c>
      <c r="I2" s="11">
        <v>151</v>
      </c>
      <c r="J2" s="11">
        <v>184</v>
      </c>
      <c r="K2" s="11">
        <v>168</v>
      </c>
      <c r="L2" s="11">
        <v>176</v>
      </c>
      <c r="M2" s="11">
        <v>184</v>
      </c>
      <c r="N2" s="11">
        <v>151</v>
      </c>
      <c r="O2" s="11">
        <v>176</v>
      </c>
    </row>
    <row r="3" spans="1:15" x14ac:dyDescent="0.25">
      <c r="A3" s="12" t="s">
        <v>4</v>
      </c>
      <c r="B3" s="12" t="s">
        <v>3</v>
      </c>
      <c r="C3" s="12" t="s">
        <v>19</v>
      </c>
      <c r="D3" s="12" t="s">
        <v>12</v>
      </c>
      <c r="E3" s="12" t="s">
        <v>5</v>
      </c>
      <c r="F3" s="12" t="s">
        <v>2</v>
      </c>
      <c r="G3" s="12" t="s">
        <v>1</v>
      </c>
      <c r="H3" s="13" t="s">
        <v>14</v>
      </c>
      <c r="I3" s="14" t="s">
        <v>0</v>
      </c>
      <c r="J3" s="15" t="s">
        <v>10</v>
      </c>
      <c r="K3" s="12" t="s">
        <v>6</v>
      </c>
      <c r="L3" s="13" t="s">
        <v>13</v>
      </c>
      <c r="M3" s="10" t="s">
        <v>20</v>
      </c>
    </row>
    <row r="4" spans="1:15" x14ac:dyDescent="0.25">
      <c r="A4" s="16">
        <v>45597</v>
      </c>
      <c r="B4" s="17" t="s">
        <v>35</v>
      </c>
      <c r="C4" s="17" t="s">
        <v>36</v>
      </c>
      <c r="D4" s="18">
        <v>0.5</v>
      </c>
      <c r="E4" s="19">
        <f>D4*B2</f>
        <v>83.5</v>
      </c>
      <c r="F4" s="20"/>
      <c r="G4" s="21">
        <v>2127.66</v>
      </c>
      <c r="H4" s="22">
        <f>E4*G4</f>
        <v>177659.61</v>
      </c>
      <c r="I4" s="21"/>
      <c r="J4" s="22"/>
      <c r="K4" s="23"/>
      <c r="L4" s="24"/>
    </row>
    <row r="5" spans="1:15" x14ac:dyDescent="0.25">
      <c r="A5" s="25"/>
      <c r="B5" s="26" t="s">
        <v>49</v>
      </c>
      <c r="C5" s="25"/>
      <c r="D5" s="27"/>
      <c r="E5" s="28"/>
      <c r="F5" s="29"/>
      <c r="G5" s="30"/>
      <c r="H5" s="31">
        <f>SUM(H4:H4)</f>
        <v>177659.61</v>
      </c>
      <c r="I5" s="32">
        <v>0</v>
      </c>
      <c r="J5" s="33">
        <f>L5-I5</f>
        <v>186542.59049999999</v>
      </c>
      <c r="K5" s="24">
        <f>H5*5%</f>
        <v>8882.9804999999997</v>
      </c>
      <c r="L5" s="24">
        <f>H5+K5</f>
        <v>186542.59049999999</v>
      </c>
      <c r="M5" s="34"/>
    </row>
    <row r="6" spans="1:15" x14ac:dyDescent="0.25">
      <c r="A6" s="16">
        <v>45627</v>
      </c>
      <c r="B6" s="17" t="s">
        <v>35</v>
      </c>
      <c r="C6" s="17" t="s">
        <v>36</v>
      </c>
      <c r="D6" s="18">
        <v>0.5</v>
      </c>
      <c r="E6" s="19">
        <f>D6*C2</f>
        <v>84</v>
      </c>
      <c r="F6" s="20"/>
      <c r="G6" s="21">
        <v>2127.66</v>
      </c>
      <c r="H6" s="22">
        <f>E6*G6</f>
        <v>178723.44</v>
      </c>
      <c r="I6" s="21"/>
      <c r="J6" s="22"/>
      <c r="K6" s="23"/>
      <c r="L6" s="24"/>
    </row>
    <row r="7" spans="1:15" x14ac:dyDescent="0.25">
      <c r="A7" s="25"/>
      <c r="B7" s="26" t="s">
        <v>50</v>
      </c>
      <c r="C7" s="25"/>
      <c r="D7" s="27"/>
      <c r="E7" s="28"/>
      <c r="F7" s="29"/>
      <c r="G7" s="30"/>
      <c r="H7" s="31">
        <f>SUM(H6:H6)</f>
        <v>178723.44</v>
      </c>
      <c r="I7" s="32">
        <v>0</v>
      </c>
      <c r="J7" s="33">
        <f>L7-I7</f>
        <v>187659.61199999999</v>
      </c>
      <c r="K7" s="24">
        <f>H7*5%</f>
        <v>8936.1720000000005</v>
      </c>
      <c r="L7" s="24">
        <f>H7+K7</f>
        <v>187659.61199999999</v>
      </c>
      <c r="M7" s="34"/>
    </row>
    <row r="8" spans="1:15" x14ac:dyDescent="0.25">
      <c r="A8" s="16">
        <v>45658</v>
      </c>
      <c r="B8" s="17" t="s">
        <v>35</v>
      </c>
      <c r="C8" s="17" t="s">
        <v>36</v>
      </c>
      <c r="D8" s="18">
        <v>0.5</v>
      </c>
      <c r="E8" s="19">
        <f>D8*D2</f>
        <v>68</v>
      </c>
      <c r="F8" s="20"/>
      <c r="G8" s="21">
        <v>2127.66</v>
      </c>
      <c r="H8" s="22">
        <f>E8*G8</f>
        <v>144680.88</v>
      </c>
      <c r="I8" s="21"/>
      <c r="J8" s="22"/>
      <c r="K8" s="23"/>
      <c r="L8" s="24"/>
    </row>
    <row r="9" spans="1:15" x14ac:dyDescent="0.25">
      <c r="A9" s="25"/>
      <c r="B9" s="26" t="s">
        <v>40</v>
      </c>
      <c r="C9" s="25"/>
      <c r="D9" s="27"/>
      <c r="E9" s="28"/>
      <c r="F9" s="29"/>
      <c r="G9" s="30"/>
      <c r="H9" s="31">
        <f>SUM(H8:H8)</f>
        <v>144680.88</v>
      </c>
      <c r="I9" s="32">
        <v>0</v>
      </c>
      <c r="J9" s="33">
        <f>L9-I9</f>
        <v>151914.924</v>
      </c>
      <c r="K9" s="24">
        <f>H9*5%</f>
        <v>7234.0440000000008</v>
      </c>
      <c r="L9" s="24">
        <f>H9+K9</f>
        <v>151914.924</v>
      </c>
      <c r="M9" s="34"/>
    </row>
    <row r="10" spans="1:15" x14ac:dyDescent="0.25">
      <c r="A10" s="16">
        <v>45689</v>
      </c>
      <c r="B10" s="17" t="s">
        <v>35</v>
      </c>
      <c r="C10" s="17" t="s">
        <v>36</v>
      </c>
      <c r="D10" s="18">
        <v>0.5</v>
      </c>
      <c r="E10" s="19">
        <f>D10*E2</f>
        <v>80</v>
      </c>
      <c r="F10" s="20"/>
      <c r="G10" s="21">
        <v>2127.66</v>
      </c>
      <c r="H10" s="22">
        <f>E10*G10</f>
        <v>170212.8</v>
      </c>
      <c r="I10" s="21"/>
      <c r="J10" s="22"/>
      <c r="K10" s="23"/>
      <c r="L10" s="24"/>
    </row>
    <row r="11" spans="1:15" x14ac:dyDescent="0.25">
      <c r="A11" s="25"/>
      <c r="B11" s="26" t="s">
        <v>37</v>
      </c>
      <c r="C11" s="25"/>
      <c r="D11" s="27"/>
      <c r="E11" s="28"/>
      <c r="F11" s="29"/>
      <c r="G11" s="30"/>
      <c r="H11" s="31">
        <f>SUM(H10:H10)</f>
        <v>170212.8</v>
      </c>
      <c r="I11" s="32">
        <v>0</v>
      </c>
      <c r="J11" s="33">
        <f>L11-I11</f>
        <v>178723.44</v>
      </c>
      <c r="K11" s="24">
        <f>H11*5%</f>
        <v>8510.64</v>
      </c>
      <c r="L11" s="24">
        <f>H11+K11</f>
        <v>178723.44</v>
      </c>
      <c r="M11" s="34"/>
    </row>
    <row r="12" spans="1:15" x14ac:dyDescent="0.25">
      <c r="A12" s="16">
        <v>45717</v>
      </c>
      <c r="B12" s="17" t="s">
        <v>35</v>
      </c>
      <c r="C12" s="17" t="s">
        <v>36</v>
      </c>
      <c r="D12" s="18">
        <v>0.5</v>
      </c>
      <c r="E12" s="19">
        <f>D12*F2</f>
        <v>83.5</v>
      </c>
      <c r="F12" s="20"/>
      <c r="G12" s="21">
        <v>2127.66</v>
      </c>
      <c r="H12" s="22">
        <f>E12*G12</f>
        <v>177659.61</v>
      </c>
      <c r="I12" s="21"/>
      <c r="J12" s="22"/>
      <c r="K12" s="23"/>
      <c r="L12" s="24"/>
    </row>
    <row r="13" spans="1:15" x14ac:dyDescent="0.25">
      <c r="A13" s="25"/>
      <c r="B13" s="26" t="s">
        <v>38</v>
      </c>
      <c r="C13" s="25"/>
      <c r="D13" s="27"/>
      <c r="E13" s="28"/>
      <c r="F13" s="29"/>
      <c r="G13" s="30"/>
      <c r="H13" s="31">
        <f>SUM(H12:H12)</f>
        <v>177659.61</v>
      </c>
      <c r="I13" s="32">
        <v>0</v>
      </c>
      <c r="J13" s="33">
        <f>L13-I13</f>
        <v>186542.59049999999</v>
      </c>
      <c r="K13" s="24">
        <f>H13*5%</f>
        <v>8882.9804999999997</v>
      </c>
      <c r="L13" s="24">
        <f>H13+K13</f>
        <v>186542.59049999999</v>
      </c>
      <c r="M13" s="34"/>
    </row>
    <row r="14" spans="1:15" x14ac:dyDescent="0.25">
      <c r="A14" s="16">
        <v>45748</v>
      </c>
      <c r="B14" s="17" t="s">
        <v>35</v>
      </c>
      <c r="C14" s="17" t="s">
        <v>36</v>
      </c>
      <c r="D14" s="18">
        <v>0.5</v>
      </c>
      <c r="E14" s="19">
        <f>D14*G2</f>
        <v>87.5</v>
      </c>
      <c r="F14" s="20"/>
      <c r="G14" s="21">
        <v>2127.66</v>
      </c>
      <c r="H14" s="22">
        <f>E14*G14</f>
        <v>186170.25</v>
      </c>
      <c r="I14" s="21"/>
      <c r="J14" s="22"/>
      <c r="K14" s="23"/>
      <c r="L14" s="24"/>
    </row>
    <row r="15" spans="1:15" x14ac:dyDescent="0.25">
      <c r="A15" s="25"/>
      <c r="B15" s="26" t="s">
        <v>39</v>
      </c>
      <c r="C15" s="25"/>
      <c r="D15" s="27"/>
      <c r="E15" s="28"/>
      <c r="F15" s="29"/>
      <c r="G15" s="30"/>
      <c r="H15" s="31">
        <f>SUM(H14:H14)</f>
        <v>186170.25</v>
      </c>
      <c r="I15" s="32">
        <v>0</v>
      </c>
      <c r="J15" s="33">
        <f>L15-I15</f>
        <v>195478.76250000001</v>
      </c>
      <c r="K15" s="24">
        <f>H15*5%</f>
        <v>9308.5125000000007</v>
      </c>
      <c r="L15" s="24">
        <f>H15+K15</f>
        <v>195478.76250000001</v>
      </c>
      <c r="M15" s="34"/>
    </row>
    <row r="16" spans="1:15" x14ac:dyDescent="0.25">
      <c r="A16" s="16">
        <v>45778</v>
      </c>
      <c r="B16" s="17" t="s">
        <v>35</v>
      </c>
      <c r="C16" s="17" t="s">
        <v>36</v>
      </c>
      <c r="D16" s="18">
        <v>0.5</v>
      </c>
      <c r="E16" s="19">
        <f>D16*H2</f>
        <v>72</v>
      </c>
      <c r="F16" s="20"/>
      <c r="G16" s="21">
        <v>2127.66</v>
      </c>
      <c r="H16" s="22">
        <f>E16*G16</f>
        <v>153191.51999999999</v>
      </c>
      <c r="I16" s="21"/>
      <c r="J16" s="22"/>
      <c r="K16" s="23"/>
      <c r="L16" s="24"/>
    </row>
    <row r="17" spans="1:13" x14ac:dyDescent="0.25">
      <c r="A17" s="25"/>
      <c r="B17" s="26" t="s">
        <v>41</v>
      </c>
      <c r="C17" s="25"/>
      <c r="D17" s="27"/>
      <c r="E17" s="28"/>
      <c r="F17" s="29"/>
      <c r="G17" s="30"/>
      <c r="H17" s="31">
        <f>SUM(H16:H16)</f>
        <v>153191.51999999999</v>
      </c>
      <c r="I17" s="32">
        <v>0</v>
      </c>
      <c r="J17" s="33">
        <f>L17-I17</f>
        <v>160851.09599999999</v>
      </c>
      <c r="K17" s="24">
        <f>H17*5%</f>
        <v>7659.576</v>
      </c>
      <c r="L17" s="24">
        <f>H17+K17</f>
        <v>160851.09599999999</v>
      </c>
      <c r="M17" s="34"/>
    </row>
    <row r="18" spans="1:13" x14ac:dyDescent="0.25">
      <c r="A18" s="16">
        <v>45809</v>
      </c>
      <c r="B18" s="17" t="s">
        <v>35</v>
      </c>
      <c r="C18" s="17" t="s">
        <v>36</v>
      </c>
      <c r="D18" s="18">
        <v>0.5</v>
      </c>
      <c r="E18" s="19">
        <f>D18*I2</f>
        <v>75.5</v>
      </c>
      <c r="F18" s="20"/>
      <c r="G18" s="21">
        <v>2127.66</v>
      </c>
      <c r="H18" s="22">
        <f>E18*G18</f>
        <v>160638.32999999999</v>
      </c>
      <c r="I18" s="21"/>
      <c r="J18" s="22"/>
      <c r="K18" s="23"/>
      <c r="L18" s="24"/>
    </row>
    <row r="19" spans="1:13" x14ac:dyDescent="0.25">
      <c r="A19" s="25"/>
      <c r="B19" s="26" t="s">
        <v>42</v>
      </c>
      <c r="C19" s="25"/>
      <c r="D19" s="27"/>
      <c r="E19" s="28"/>
      <c r="F19" s="29"/>
      <c r="G19" s="30"/>
      <c r="H19" s="31">
        <f>SUM(H18:H18)</f>
        <v>160638.32999999999</v>
      </c>
      <c r="I19" s="32">
        <v>0</v>
      </c>
      <c r="J19" s="33">
        <f>L19-I19</f>
        <v>168670.24649999998</v>
      </c>
      <c r="K19" s="24">
        <f>H19*5%</f>
        <v>8031.9164999999994</v>
      </c>
      <c r="L19" s="24">
        <f>H19+K19</f>
        <v>168670.24649999998</v>
      </c>
      <c r="M19" s="34"/>
    </row>
    <row r="20" spans="1:13" x14ac:dyDescent="0.25">
      <c r="A20" s="16">
        <v>45839</v>
      </c>
      <c r="B20" s="17" t="s">
        <v>35</v>
      </c>
      <c r="C20" s="17" t="s">
        <v>36</v>
      </c>
      <c r="D20" s="18">
        <v>0.5</v>
      </c>
      <c r="E20" s="19">
        <f>D20*J2</f>
        <v>92</v>
      </c>
      <c r="F20" s="20"/>
      <c r="G20" s="21">
        <v>2127.66</v>
      </c>
      <c r="H20" s="22">
        <f>E20*G20</f>
        <v>195744.71999999997</v>
      </c>
      <c r="I20" s="21"/>
      <c r="J20" s="22"/>
      <c r="K20" s="23"/>
      <c r="L20" s="24"/>
    </row>
    <row r="21" spans="1:13" x14ac:dyDescent="0.25">
      <c r="A21" s="25"/>
      <c r="B21" s="26" t="s">
        <v>43</v>
      </c>
      <c r="C21" s="25"/>
      <c r="D21" s="27"/>
      <c r="E21" s="28"/>
      <c r="F21" s="29"/>
      <c r="G21" s="30"/>
      <c r="H21" s="31">
        <f>SUM(H20:H20)</f>
        <v>195744.71999999997</v>
      </c>
      <c r="I21" s="32">
        <v>0</v>
      </c>
      <c r="J21" s="33">
        <f>L21-I21</f>
        <v>205531.95599999998</v>
      </c>
      <c r="K21" s="24">
        <f>H21*5%</f>
        <v>9787.235999999999</v>
      </c>
      <c r="L21" s="24">
        <f>H21+K21</f>
        <v>205531.95599999998</v>
      </c>
      <c r="M21" s="34"/>
    </row>
    <row r="22" spans="1:13" x14ac:dyDescent="0.25">
      <c r="A22" s="16">
        <v>45870</v>
      </c>
      <c r="B22" s="17" t="s">
        <v>35</v>
      </c>
      <c r="C22" s="17" t="s">
        <v>36</v>
      </c>
      <c r="D22" s="18">
        <v>0.5</v>
      </c>
      <c r="E22" s="19">
        <f>D22*K2</f>
        <v>84</v>
      </c>
      <c r="F22" s="20"/>
      <c r="G22" s="21">
        <v>2127.66</v>
      </c>
      <c r="H22" s="22">
        <f>E22*G22</f>
        <v>178723.44</v>
      </c>
      <c r="I22" s="21"/>
      <c r="J22" s="22"/>
      <c r="K22" s="23"/>
      <c r="L22" s="24"/>
    </row>
    <row r="23" spans="1:13" x14ac:dyDescent="0.25">
      <c r="A23" s="25"/>
      <c r="B23" s="26" t="s">
        <v>44</v>
      </c>
      <c r="C23" s="25"/>
      <c r="D23" s="27"/>
      <c r="E23" s="28"/>
      <c r="F23" s="29"/>
      <c r="G23" s="30"/>
      <c r="H23" s="31">
        <f>SUM(H22:H22)</f>
        <v>178723.44</v>
      </c>
      <c r="I23" s="32">
        <v>0</v>
      </c>
      <c r="J23" s="33">
        <f>L23-I23</f>
        <v>187659.61199999999</v>
      </c>
      <c r="K23" s="24">
        <f>H23*5%</f>
        <v>8936.1720000000005</v>
      </c>
      <c r="L23" s="24">
        <f>H23+K23</f>
        <v>187659.61199999999</v>
      </c>
      <c r="M23" s="34"/>
    </row>
    <row r="24" spans="1:13" x14ac:dyDescent="0.25">
      <c r="A24" s="16">
        <v>45901</v>
      </c>
      <c r="B24" s="17" t="s">
        <v>35</v>
      </c>
      <c r="C24" s="17" t="s">
        <v>36</v>
      </c>
      <c r="D24" s="18">
        <v>0.5</v>
      </c>
      <c r="E24" s="19">
        <f>D24*L2</f>
        <v>88</v>
      </c>
      <c r="F24" s="20"/>
      <c r="G24" s="21">
        <v>2127.66</v>
      </c>
      <c r="H24" s="22">
        <f>E24*G24</f>
        <v>187234.08</v>
      </c>
      <c r="I24" s="21"/>
      <c r="J24" s="22"/>
      <c r="K24" s="23"/>
      <c r="L24" s="24"/>
    </row>
    <row r="25" spans="1:13" x14ac:dyDescent="0.25">
      <c r="A25" s="25"/>
      <c r="B25" s="26" t="s">
        <v>45</v>
      </c>
      <c r="C25" s="25"/>
      <c r="D25" s="27"/>
      <c r="E25" s="28"/>
      <c r="F25" s="29"/>
      <c r="G25" s="30"/>
      <c r="H25" s="31">
        <f>SUM(H24:H24)</f>
        <v>187234.08</v>
      </c>
      <c r="I25" s="32">
        <v>0</v>
      </c>
      <c r="J25" s="33">
        <f>L25-I25</f>
        <v>196595.78399999999</v>
      </c>
      <c r="K25" s="24">
        <f>H25*5%</f>
        <v>9361.7039999999997</v>
      </c>
      <c r="L25" s="24">
        <f>H25+K25</f>
        <v>196595.78399999999</v>
      </c>
      <c r="M25" s="34"/>
    </row>
    <row r="26" spans="1:13" x14ac:dyDescent="0.25">
      <c r="A26" s="16">
        <v>45931</v>
      </c>
      <c r="B26" s="17" t="s">
        <v>35</v>
      </c>
      <c r="C26" s="17" t="s">
        <v>36</v>
      </c>
      <c r="D26" s="18">
        <v>0.5</v>
      </c>
      <c r="E26" s="19">
        <f>D26*M2</f>
        <v>92</v>
      </c>
      <c r="F26" s="20"/>
      <c r="G26" s="21">
        <v>2127.66</v>
      </c>
      <c r="H26" s="22">
        <f>E26*G26</f>
        <v>195744.71999999997</v>
      </c>
      <c r="I26" s="21"/>
      <c r="J26" s="22"/>
      <c r="K26" s="23"/>
      <c r="L26" s="24"/>
    </row>
    <row r="27" spans="1:13" x14ac:dyDescent="0.25">
      <c r="A27" s="25"/>
      <c r="B27" s="26" t="s">
        <v>46</v>
      </c>
      <c r="C27" s="25"/>
      <c r="D27" s="27"/>
      <c r="E27" s="28"/>
      <c r="F27" s="29"/>
      <c r="G27" s="30"/>
      <c r="H27" s="31">
        <f>SUM(H26:H26)</f>
        <v>195744.71999999997</v>
      </c>
      <c r="I27" s="32">
        <v>0</v>
      </c>
      <c r="J27" s="33">
        <f>L27-I27</f>
        <v>205531.95599999998</v>
      </c>
      <c r="K27" s="24">
        <f>H27*5%</f>
        <v>9787.235999999999</v>
      </c>
      <c r="L27" s="24">
        <f>H27+K27</f>
        <v>205531.95599999998</v>
      </c>
      <c r="M27" s="34"/>
    </row>
    <row r="28" spans="1:13" x14ac:dyDescent="0.25">
      <c r="A28" s="16">
        <v>45962</v>
      </c>
      <c r="B28" s="17" t="s">
        <v>35</v>
      </c>
      <c r="C28" s="17" t="s">
        <v>36</v>
      </c>
      <c r="D28" s="18">
        <v>0.5</v>
      </c>
      <c r="E28" s="19">
        <f>D28*N2</f>
        <v>75.5</v>
      </c>
      <c r="F28" s="20"/>
      <c r="G28" s="21">
        <v>2127.66</v>
      </c>
      <c r="H28" s="22">
        <f>E28*G28</f>
        <v>160638.32999999999</v>
      </c>
      <c r="I28" s="21"/>
      <c r="J28" s="22"/>
      <c r="K28" s="23"/>
      <c r="L28" s="24"/>
    </row>
    <row r="29" spans="1:13" x14ac:dyDescent="0.25">
      <c r="A29" s="25"/>
      <c r="B29" s="26" t="s">
        <v>47</v>
      </c>
      <c r="C29" s="25"/>
      <c r="D29" s="27"/>
      <c r="E29" s="28"/>
      <c r="F29" s="29"/>
      <c r="G29" s="30"/>
      <c r="H29" s="31">
        <f>SUM(H28:H28)</f>
        <v>160638.32999999999</v>
      </c>
      <c r="I29" s="32">
        <v>0</v>
      </c>
      <c r="J29" s="33">
        <f>L29-I29</f>
        <v>168670.24649999998</v>
      </c>
      <c r="K29" s="24">
        <f>H29*5%</f>
        <v>8031.9164999999994</v>
      </c>
      <c r="L29" s="24">
        <f>H29+K29</f>
        <v>168670.24649999998</v>
      </c>
      <c r="M29" s="34"/>
    </row>
    <row r="30" spans="1:13" x14ac:dyDescent="0.25">
      <c r="A30" s="16">
        <v>45992</v>
      </c>
      <c r="B30" s="17" t="s">
        <v>35</v>
      </c>
      <c r="C30" s="17" t="s">
        <v>36</v>
      </c>
      <c r="D30" s="18">
        <v>0.5</v>
      </c>
      <c r="E30" s="19">
        <f>D30*O2</f>
        <v>88</v>
      </c>
      <c r="F30" s="20"/>
      <c r="G30" s="21">
        <v>2127.66</v>
      </c>
      <c r="H30" s="22">
        <f>E30*G30</f>
        <v>187234.08</v>
      </c>
      <c r="I30" s="21"/>
      <c r="J30" s="22"/>
      <c r="K30" s="23"/>
      <c r="L30" s="24"/>
    </row>
    <row r="31" spans="1:13" x14ac:dyDescent="0.25">
      <c r="A31" s="25"/>
      <c r="B31" s="26" t="s">
        <v>48</v>
      </c>
      <c r="C31" s="25"/>
      <c r="D31" s="27"/>
      <c r="E31" s="28"/>
      <c r="F31" s="29"/>
      <c r="G31" s="30"/>
      <c r="H31" s="31">
        <f>SUM(H30:H30)</f>
        <v>187234.08</v>
      </c>
      <c r="I31" s="32">
        <v>0</v>
      </c>
      <c r="J31" s="33">
        <f>L31-I31</f>
        <v>196595.78399999999</v>
      </c>
      <c r="K31" s="24">
        <f>H31*5%</f>
        <v>9361.7039999999997</v>
      </c>
      <c r="L31" s="24">
        <f>H31+K31</f>
        <v>196595.78399999999</v>
      </c>
      <c r="M31" s="34"/>
    </row>
    <row r="33" spans="1:8" x14ac:dyDescent="0.25">
      <c r="A33" s="35" t="s">
        <v>7</v>
      </c>
      <c r="B33" s="36" t="s">
        <v>8</v>
      </c>
      <c r="C33" s="36" t="s">
        <v>9</v>
      </c>
      <c r="D33" s="36" t="s">
        <v>10</v>
      </c>
      <c r="E33" s="36" t="s">
        <v>15</v>
      </c>
      <c r="F33" s="36" t="s">
        <v>51</v>
      </c>
      <c r="G33" s="36" t="s">
        <v>16</v>
      </c>
      <c r="H33" s="36" t="s">
        <v>20</v>
      </c>
    </row>
    <row r="34" spans="1:8" x14ac:dyDescent="0.25">
      <c r="A34" s="39">
        <v>45597</v>
      </c>
      <c r="B34" s="17" t="s">
        <v>35</v>
      </c>
      <c r="C34" s="22">
        <f>I5</f>
        <v>0</v>
      </c>
      <c r="D34" s="37">
        <f>J5</f>
        <v>186542.59049999999</v>
      </c>
      <c r="E34" s="22">
        <f>H5</f>
        <v>177659.61</v>
      </c>
      <c r="F34" s="22">
        <f>K5</f>
        <v>8882.9804999999997</v>
      </c>
      <c r="G34" s="22">
        <f>L5</f>
        <v>186542.59049999999</v>
      </c>
      <c r="H34" s="21"/>
    </row>
    <row r="35" spans="1:8" x14ac:dyDescent="0.25">
      <c r="A35" s="39">
        <v>45627</v>
      </c>
      <c r="B35" s="17" t="s">
        <v>35</v>
      </c>
      <c r="C35" s="22">
        <f>I7</f>
        <v>0</v>
      </c>
      <c r="D35" s="37">
        <f>J7</f>
        <v>187659.61199999999</v>
      </c>
      <c r="E35" s="22">
        <f>H7</f>
        <v>178723.44</v>
      </c>
      <c r="F35" s="22">
        <f>K7</f>
        <v>8936.1720000000005</v>
      </c>
      <c r="G35" s="22">
        <f>L7</f>
        <v>187659.61199999999</v>
      </c>
      <c r="H35" s="21"/>
    </row>
    <row r="36" spans="1:8" x14ac:dyDescent="0.25">
      <c r="A36" s="39">
        <v>45658</v>
      </c>
      <c r="B36" s="17" t="s">
        <v>35</v>
      </c>
      <c r="C36" s="22">
        <f>I9</f>
        <v>0</v>
      </c>
      <c r="D36" s="37">
        <f>J9</f>
        <v>151914.924</v>
      </c>
      <c r="E36" s="22">
        <f>H9</f>
        <v>144680.88</v>
      </c>
      <c r="F36" s="22">
        <f>K9</f>
        <v>7234.0440000000008</v>
      </c>
      <c r="G36" s="22">
        <f>L9</f>
        <v>151914.924</v>
      </c>
      <c r="H36" s="21"/>
    </row>
    <row r="37" spans="1:8" x14ac:dyDescent="0.25">
      <c r="A37" s="39">
        <v>45689</v>
      </c>
      <c r="B37" s="17" t="s">
        <v>35</v>
      </c>
      <c r="C37" s="22">
        <f>I11</f>
        <v>0</v>
      </c>
      <c r="D37" s="37">
        <f>J11</f>
        <v>178723.44</v>
      </c>
      <c r="E37" s="22">
        <f>H11</f>
        <v>170212.8</v>
      </c>
      <c r="F37" s="22">
        <f>K11</f>
        <v>8510.64</v>
      </c>
      <c r="G37" s="22">
        <f>L11</f>
        <v>178723.44</v>
      </c>
      <c r="H37" s="21"/>
    </row>
    <row r="38" spans="1:8" x14ac:dyDescent="0.25">
      <c r="A38" s="39">
        <v>45717</v>
      </c>
      <c r="B38" s="17" t="s">
        <v>35</v>
      </c>
      <c r="C38" s="22">
        <f>I13</f>
        <v>0</v>
      </c>
      <c r="D38" s="37">
        <f>J13</f>
        <v>186542.59049999999</v>
      </c>
      <c r="E38" s="22">
        <f>H13</f>
        <v>177659.61</v>
      </c>
      <c r="F38" s="22">
        <f>K13</f>
        <v>8882.9804999999997</v>
      </c>
      <c r="G38" s="22">
        <f>L13</f>
        <v>186542.59049999999</v>
      </c>
      <c r="H38" s="21"/>
    </row>
    <row r="39" spans="1:8" x14ac:dyDescent="0.25">
      <c r="A39" s="39">
        <v>45748</v>
      </c>
      <c r="B39" s="17" t="s">
        <v>35</v>
      </c>
      <c r="C39" s="22">
        <f>I15</f>
        <v>0</v>
      </c>
      <c r="D39" s="37">
        <f>J15</f>
        <v>195478.76250000001</v>
      </c>
      <c r="E39" s="22">
        <f>H15</f>
        <v>186170.25</v>
      </c>
      <c r="F39" s="22">
        <f>K15</f>
        <v>9308.5125000000007</v>
      </c>
      <c r="G39" s="22">
        <f>L15</f>
        <v>195478.76250000001</v>
      </c>
      <c r="H39" s="21"/>
    </row>
    <row r="40" spans="1:8" x14ac:dyDescent="0.25">
      <c r="A40" s="39">
        <v>45778</v>
      </c>
      <c r="B40" s="17" t="s">
        <v>35</v>
      </c>
      <c r="C40" s="22">
        <f>I17</f>
        <v>0</v>
      </c>
      <c r="D40" s="37">
        <f>J17</f>
        <v>160851.09599999999</v>
      </c>
      <c r="E40" s="22">
        <f>H17</f>
        <v>153191.51999999999</v>
      </c>
      <c r="F40" s="22">
        <f>K17</f>
        <v>7659.576</v>
      </c>
      <c r="G40" s="22">
        <f>L17</f>
        <v>160851.09599999999</v>
      </c>
      <c r="H40" s="21"/>
    </row>
    <row r="41" spans="1:8" x14ac:dyDescent="0.25">
      <c r="A41" s="39">
        <v>45809</v>
      </c>
      <c r="B41" s="17" t="s">
        <v>35</v>
      </c>
      <c r="C41" s="22">
        <f>I19</f>
        <v>0</v>
      </c>
      <c r="D41" s="37">
        <f>J19</f>
        <v>168670.24649999998</v>
      </c>
      <c r="E41" s="22">
        <f>H19</f>
        <v>160638.32999999999</v>
      </c>
      <c r="F41" s="22">
        <f>K19</f>
        <v>8031.9164999999994</v>
      </c>
      <c r="G41" s="22">
        <f>L19</f>
        <v>168670.24649999998</v>
      </c>
      <c r="H41" s="21"/>
    </row>
    <row r="42" spans="1:8" x14ac:dyDescent="0.25">
      <c r="A42" s="39">
        <v>45839</v>
      </c>
      <c r="B42" s="17" t="s">
        <v>35</v>
      </c>
      <c r="C42" s="22">
        <f>I21</f>
        <v>0</v>
      </c>
      <c r="D42" s="37">
        <f>J21</f>
        <v>205531.95599999998</v>
      </c>
      <c r="E42" s="22">
        <f>H21</f>
        <v>195744.71999999997</v>
      </c>
      <c r="F42" s="22">
        <f>K21</f>
        <v>9787.235999999999</v>
      </c>
      <c r="G42" s="22">
        <f>L21</f>
        <v>205531.95599999998</v>
      </c>
      <c r="H42" s="21"/>
    </row>
    <row r="43" spans="1:8" x14ac:dyDescent="0.25">
      <c r="A43" s="39">
        <v>45870</v>
      </c>
      <c r="B43" s="17" t="s">
        <v>35</v>
      </c>
      <c r="C43" s="22">
        <f>I23</f>
        <v>0</v>
      </c>
      <c r="D43" s="37">
        <f>J23</f>
        <v>187659.61199999999</v>
      </c>
      <c r="E43" s="22">
        <f>H23</f>
        <v>178723.44</v>
      </c>
      <c r="F43" s="22">
        <f>K23</f>
        <v>8936.1720000000005</v>
      </c>
      <c r="G43" s="22">
        <f>L23</f>
        <v>187659.61199999999</v>
      </c>
      <c r="H43" s="21"/>
    </row>
    <row r="44" spans="1:8" x14ac:dyDescent="0.25">
      <c r="A44" s="39">
        <v>45901</v>
      </c>
      <c r="B44" s="17" t="s">
        <v>35</v>
      </c>
      <c r="C44" s="22">
        <f>I25</f>
        <v>0</v>
      </c>
      <c r="D44" s="37">
        <f>J25</f>
        <v>196595.78399999999</v>
      </c>
      <c r="E44" s="22">
        <f>H25</f>
        <v>187234.08</v>
      </c>
      <c r="F44" s="22">
        <f>K25</f>
        <v>9361.7039999999997</v>
      </c>
      <c r="G44" s="22">
        <f>L25</f>
        <v>196595.78399999999</v>
      </c>
      <c r="H44" s="21"/>
    </row>
    <row r="45" spans="1:8" x14ac:dyDescent="0.25">
      <c r="A45" s="39">
        <v>45931</v>
      </c>
      <c r="B45" s="17" t="s">
        <v>35</v>
      </c>
      <c r="C45" s="22">
        <f>I27</f>
        <v>0</v>
      </c>
      <c r="D45" s="37">
        <f>J27</f>
        <v>205531.95599999998</v>
      </c>
      <c r="E45" s="22">
        <f>H27</f>
        <v>195744.71999999997</v>
      </c>
      <c r="F45" s="22">
        <f>K27</f>
        <v>9787.235999999999</v>
      </c>
      <c r="G45" s="22">
        <f>L27</f>
        <v>205531.95599999998</v>
      </c>
      <c r="H45" s="21"/>
    </row>
    <row r="46" spans="1:8" x14ac:dyDescent="0.25">
      <c r="A46" s="39">
        <v>45962</v>
      </c>
      <c r="B46" s="17" t="s">
        <v>35</v>
      </c>
      <c r="C46" s="22">
        <f>I29</f>
        <v>0</v>
      </c>
      <c r="D46" s="37">
        <f>J29</f>
        <v>168670.24649999998</v>
      </c>
      <c r="E46" s="22">
        <f>H29</f>
        <v>160638.32999999999</v>
      </c>
      <c r="F46" s="22">
        <f>K29</f>
        <v>8031.9164999999994</v>
      </c>
      <c r="G46" s="22">
        <f>L29</f>
        <v>168670.24649999998</v>
      </c>
      <c r="H46" s="21"/>
    </row>
    <row r="47" spans="1:8" ht="13.2" customHeight="1" x14ac:dyDescent="0.25">
      <c r="A47" s="39">
        <v>45992</v>
      </c>
      <c r="B47" s="17" t="s">
        <v>35</v>
      </c>
      <c r="C47" s="22">
        <f>I31</f>
        <v>0</v>
      </c>
      <c r="D47" s="37">
        <f>J31</f>
        <v>196595.78399999999</v>
      </c>
      <c r="E47" s="22">
        <f>H31</f>
        <v>187234.08</v>
      </c>
      <c r="F47" s="22">
        <f>K31</f>
        <v>9361.7039999999997</v>
      </c>
      <c r="G47" s="22">
        <f>L31</f>
        <v>196595.78399999999</v>
      </c>
      <c r="H47" s="21"/>
    </row>
    <row r="48" spans="1:8" x14ac:dyDescent="0.25">
      <c r="A48" s="35" t="s">
        <v>18</v>
      </c>
      <c r="B48" s="21"/>
      <c r="C48" s="38">
        <f>SUM(C34:C47)</f>
        <v>0</v>
      </c>
      <c r="D48" s="33">
        <f>SUM(D34:D47)</f>
        <v>2576968.6004999992</v>
      </c>
      <c r="E48" s="24">
        <f>SUM(E34:E47)</f>
        <v>2454255.81</v>
      </c>
      <c r="F48" s="24">
        <f>SUM(F34:F47)</f>
        <v>122712.79050000003</v>
      </c>
      <c r="G48" s="24">
        <f>SUM(G34:G47)</f>
        <v>2576968.6004999992</v>
      </c>
      <c r="H48" s="35"/>
    </row>
    <row r="50" spans="4:6" x14ac:dyDescent="0.25">
      <c r="D50" s="34"/>
      <c r="E50" s="34"/>
      <c r="F50" s="34"/>
    </row>
    <row r="51" spans="4:6" x14ac:dyDescent="0.25">
      <c r="D51" s="34"/>
    </row>
  </sheetData>
  <autoFilter ref="A3:J31" xr:uid="{83C9A237-CF5D-4C12-932F-DFA19260461A}"/>
  <phoneticPr fontId="3" type="noConversion"/>
  <conditionalFormatting sqref="D1">
    <cfRule type="timePeriod" dxfId="6" priority="5" timePeriod="thisWeek">
      <formula>AND(TODAY()-ROUNDDOWN(D1,0)&lt;=WEEKDAY(TODAY())-1,ROUNDDOWN(D1,0)-TODAY()&lt;=7-WEEKDAY(TODAY()))</formula>
    </cfRule>
  </conditionalFormatting>
  <conditionalFormatting sqref="G1 D2:O2">
    <cfRule type="timePeriod" dxfId="5" priority="7" timePeriod="thisWeek">
      <formula>AND(TODAY()-ROUNDDOWN(D1,0)&lt;=WEEKDAY(TODAY())-1,ROUNDDOWN(D1,0)-TODAY()&lt;=7-WEEKDAY(TODAY()))</formula>
    </cfRule>
  </conditionalFormatting>
  <conditionalFormatting sqref="J1 L1:O1">
    <cfRule type="timePeriod" dxfId="4" priority="6" timePeriod="thisWeek">
      <formula>AND(TODAY()-ROUNDDOWN(J1,0)&lt;=WEEKDAY(TODAY())-1,ROUNDDOWN(J1,0)-TODAY()&lt;=7-WEEKDAY(TODAY()))</formula>
    </cfRule>
  </conditionalFormatting>
  <conditionalFormatting sqref="B1:C1">
    <cfRule type="timePeriod" dxfId="3" priority="3" timePeriod="thisWeek">
      <formula>AND(TODAY()-ROUNDDOWN(B1,0)&lt;=WEEKDAY(TODAY())-1,ROUNDDOWN(B1,0)-TODAY()&lt;=7-WEEKDAY(TODAY()))</formula>
    </cfRule>
  </conditionalFormatting>
  <conditionalFormatting sqref="B2:C2">
    <cfRule type="timePeriod" dxfId="2" priority="4" timePeriod="thisWeek">
      <formula>AND(TODAY()-ROUNDDOWN(B2,0)&lt;=WEEKDAY(TODAY())-1,ROUNDDOWN(B2,0)-TODAY()&lt;=7-WEEKDAY(TODAY()))</formula>
    </cfRule>
  </conditionalFormatting>
  <conditionalFormatting sqref="A2">
    <cfRule type="timePeriod" dxfId="1" priority="2" timePeriod="thisWeek">
      <formula>AND(TODAY()-ROUNDDOWN(A2,0)&lt;=WEEKDAY(TODAY())-1,ROUNDDOWN(A2,0)-TODAY()&lt;=7-WEEKDAY(TODAY()))</formula>
    </cfRule>
  </conditionalFormatting>
  <conditionalFormatting sqref="A1">
    <cfRule type="timePeriod" dxfId="0" priority="1" timePeriod="thisWeek">
      <formula>AND(TODAY()-ROUNDDOWN(A1,0)&lt;=WEEKDAY(TODAY())-1,ROUNDDOWN(A1,0)-TODAY()&lt;=7-WEEKDAY(TODAY()))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выдержка</vt:lpstr>
      <vt:lpstr>670. Senior разработчик БД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-</cp:lastModifiedBy>
  <dcterms:created xsi:type="dcterms:W3CDTF">2023-08-01T10:35:00Z</dcterms:created>
  <dcterms:modified xsi:type="dcterms:W3CDTF">2024-11-18T08:01:12Z</dcterms:modified>
</cp:coreProperties>
</file>