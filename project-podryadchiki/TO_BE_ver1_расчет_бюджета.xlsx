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МТЕХ\Проектный офис АМТЕХ\0005_Проекты\Платформа_Медиа\Платформа Медиа 2527\"/>
    </mc:Choice>
  </mc:AlternateContent>
  <xr:revisionPtr revIDLastSave="0" documentId="13_ncr:1_{8CBE5006-A64F-42C8-801E-F7F2328BB632}" xr6:coauthVersionLast="47" xr6:coauthVersionMax="47" xr10:uidLastSave="{00000000-0000-0000-0000-000000000000}"/>
  <bookViews>
    <workbookView xWindow="-108" yWindow="-108" windowWidth="23256" windowHeight="13896" activeTab="1" xr2:uid="{DD30A495-8E7C-44BC-8666-0EB90959B3A5}"/>
  </bookViews>
  <sheets>
    <sheet name="выдержка" sheetId="22" r:id="rId1"/>
    <sheet name="расчеты_T&amp;M" sheetId="20" r:id="rId2"/>
    <sheet name="расчеты_FIX" sheetId="25" r:id="rId3"/>
    <sheet name="Часы VS ФП" sheetId="23" r:id="rId4"/>
    <sheet name="шаблон расчета проекта" sheetId="24" r:id="rId5"/>
    <sheet name="технический" sheetId="19" state="hidden" r:id="rId6"/>
  </sheets>
  <definedNames>
    <definedName name="Срез_Месяц_выполнения_работ">#N/A</definedName>
    <definedName name="Срез_Подрядчик">#N/A</definedName>
    <definedName name="Срез_Специалист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25" l="1"/>
  <c r="D16" i="25"/>
  <c r="E15" i="25"/>
  <c r="G15" i="25" s="1"/>
  <c r="E14" i="25"/>
  <c r="G14" i="25" s="1"/>
  <c r="G16" i="25" l="1"/>
  <c r="E16" i="25"/>
  <c r="G26" i="20" l="1"/>
  <c r="J26" i="20" s="1"/>
  <c r="M26" i="20"/>
  <c r="G25" i="20"/>
  <c r="J25" i="20" s="1"/>
  <c r="M25" i="20"/>
  <c r="G35" i="20"/>
  <c r="J35" i="20" s="1"/>
  <c r="M35" i="20"/>
  <c r="M14" i="20"/>
  <c r="M15" i="20"/>
  <c r="M16" i="20"/>
  <c r="M17" i="20"/>
  <c r="M18" i="20"/>
  <c r="M19" i="20"/>
  <c r="M20" i="20"/>
  <c r="M21" i="20"/>
  <c r="M22" i="20"/>
  <c r="M23" i="20"/>
  <c r="M24" i="20"/>
  <c r="M32" i="20"/>
  <c r="M33" i="20"/>
  <c r="M34" i="20"/>
  <c r="M36" i="20"/>
  <c r="M37" i="20"/>
  <c r="M38" i="20"/>
  <c r="M39" i="20"/>
  <c r="M40" i="20"/>
  <c r="L26" i="20" l="1"/>
  <c r="N26" i="20"/>
  <c r="L25" i="20"/>
  <c r="N25" i="20"/>
  <c r="L35" i="20"/>
  <c r="N35" i="20"/>
  <c r="B10" i="24"/>
  <c r="B11" i="24"/>
  <c r="B12" i="24"/>
  <c r="B13" i="24"/>
  <c r="B14" i="24"/>
  <c r="B15" i="24"/>
  <c r="B16" i="24"/>
  <c r="G38" i="20" l="1"/>
  <c r="J38" i="20" s="1"/>
  <c r="G40" i="20"/>
  <c r="J40" i="20" s="1"/>
  <c r="G31" i="20"/>
  <c r="J31" i="20" s="1"/>
  <c r="M31" i="20" s="1"/>
  <c r="G30" i="20"/>
  <c r="J30" i="20" s="1"/>
  <c r="M30" i="20" s="1"/>
  <c r="L38" i="20" l="1"/>
  <c r="N38" i="20"/>
  <c r="L40" i="20"/>
  <c r="N40" i="20"/>
  <c r="N31" i="20"/>
  <c r="L31" i="20" s="1"/>
  <c r="N30" i="20"/>
  <c r="L30" i="20" s="1"/>
  <c r="F41" i="20"/>
  <c r="G34" i="20"/>
  <c r="J34" i="20" s="1"/>
  <c r="L34" i="20" l="1"/>
  <c r="N34" i="20"/>
  <c r="E10" i="24"/>
  <c r="E11" i="24"/>
  <c r="E12" i="24"/>
  <c r="E13" i="24"/>
  <c r="E14" i="24"/>
  <c r="E15" i="24"/>
  <c r="E16" i="24"/>
  <c r="D10" i="24"/>
  <c r="D11" i="24"/>
  <c r="D12" i="24"/>
  <c r="D13" i="24"/>
  <c r="D14" i="24"/>
  <c r="D15" i="24"/>
  <c r="D16" i="24"/>
  <c r="G32" i="24" l="1" a="1"/>
  <c r="G32" i="24" s="1"/>
  <c r="H32" i="24" a="1"/>
  <c r="H32" i="24" s="1"/>
  <c r="I32" i="24" a="1"/>
  <c r="I32" i="24" s="1"/>
  <c r="J32" i="24" a="1"/>
  <c r="J32" i="24" s="1"/>
  <c r="K32" i="24" a="1"/>
  <c r="K32" i="24" s="1"/>
  <c r="L32" i="24" a="1"/>
  <c r="L32" i="24" s="1"/>
  <c r="M32" i="24" a="1"/>
  <c r="M32" i="24" s="1"/>
  <c r="N32" i="24" a="1"/>
  <c r="N32" i="24" s="1"/>
  <c r="O32" i="24" a="1"/>
  <c r="O32" i="24" s="1"/>
  <c r="P32" i="24" a="1"/>
  <c r="P32" i="24" s="1"/>
  <c r="Q32" i="24" a="1"/>
  <c r="Q32" i="24" s="1"/>
  <c r="R32" i="24" a="1"/>
  <c r="R32" i="24" s="1"/>
  <c r="S32" i="24" a="1"/>
  <c r="S32" i="24" s="1"/>
  <c r="T32" i="24" a="1"/>
  <c r="T32" i="24" s="1"/>
  <c r="U32" i="24" a="1"/>
  <c r="U32" i="24" s="1"/>
  <c r="V32" i="24" a="1"/>
  <c r="V32" i="24" s="1"/>
  <c r="W32" i="24" a="1"/>
  <c r="W32" i="24" s="1"/>
  <c r="X32" i="24" a="1"/>
  <c r="X32" i="24" s="1"/>
  <c r="Y32" i="24" a="1"/>
  <c r="Y32" i="24" s="1"/>
  <c r="Z32" i="24" a="1"/>
  <c r="Z32" i="24" s="1"/>
  <c r="AA32" i="24" a="1"/>
  <c r="AA32" i="24" s="1"/>
  <c r="AB32" i="24" a="1"/>
  <c r="AB32" i="24" s="1"/>
  <c r="AC32" i="24" a="1"/>
  <c r="AC32" i="24" s="1"/>
  <c r="AD32" i="24" a="1"/>
  <c r="AD32" i="24" s="1"/>
  <c r="AE32" i="24" a="1"/>
  <c r="AE32" i="24" s="1"/>
  <c r="AF32" i="24" a="1"/>
  <c r="AF32" i="24" s="1"/>
  <c r="AG32" i="24" a="1"/>
  <c r="AG32" i="24" s="1"/>
  <c r="AH32" i="24" a="1"/>
  <c r="AH32" i="24" s="1"/>
  <c r="AI32" i="24" a="1"/>
  <c r="AI32" i="24" s="1"/>
  <c r="AJ32" i="24" a="1"/>
  <c r="AJ32" i="24" s="1"/>
  <c r="AK32" i="24" a="1"/>
  <c r="AK32" i="24" s="1"/>
  <c r="AL32" i="24" a="1"/>
  <c r="AL32" i="24" s="1"/>
  <c r="AM32" i="24" a="1"/>
  <c r="AM32" i="24" s="1"/>
  <c r="AN32" i="24" a="1"/>
  <c r="AN32" i="24" s="1"/>
  <c r="AO32" i="24" a="1"/>
  <c r="AO32" i="24" s="1"/>
  <c r="AP32" i="24" a="1"/>
  <c r="AP32" i="24" s="1"/>
  <c r="AQ32" i="24" a="1"/>
  <c r="AQ32" i="24" s="1"/>
  <c r="AR32" i="24" a="1"/>
  <c r="AR32" i="24" s="1"/>
  <c r="AS32" i="24" a="1"/>
  <c r="AS32" i="24" s="1"/>
  <c r="AT32" i="24" a="1"/>
  <c r="AT32" i="24" s="1"/>
  <c r="AU32" i="24" a="1"/>
  <c r="AU32" i="24" s="1"/>
  <c r="AV32" i="24" a="1"/>
  <c r="AV32" i="24" s="1"/>
  <c r="AW32" i="24" a="1"/>
  <c r="AW32" i="24" s="1"/>
  <c r="AX32" i="24" a="1"/>
  <c r="AX32" i="24" s="1"/>
  <c r="AY32" i="24" a="1"/>
  <c r="AY32" i="24" s="1"/>
  <c r="AZ32" i="24" a="1"/>
  <c r="AZ32" i="24" s="1"/>
  <c r="BA32" i="24" a="1"/>
  <c r="BA32" i="24" s="1"/>
  <c r="BB32" i="24" a="1"/>
  <c r="BB32" i="24" s="1"/>
  <c r="BC32" i="24" a="1"/>
  <c r="BC32" i="24" s="1"/>
  <c r="BD32" i="24" a="1"/>
  <c r="BD32" i="24" s="1"/>
  <c r="BE32" i="24" a="1"/>
  <c r="BE32" i="24" s="1"/>
  <c r="BF32" i="24" a="1"/>
  <c r="BF32" i="24" s="1"/>
  <c r="BG32" i="24" a="1"/>
  <c r="BG32" i="24" s="1"/>
  <c r="BH32" i="24" a="1"/>
  <c r="BH32" i="24" s="1"/>
  <c r="BI32" i="24" a="1"/>
  <c r="BI32" i="24" s="1"/>
  <c r="BJ32" i="24" a="1"/>
  <c r="BJ32" i="24" s="1"/>
  <c r="BK32" i="24" a="1"/>
  <c r="BK32" i="24" s="1"/>
  <c r="BL32" i="24" a="1"/>
  <c r="BL32" i="24" s="1"/>
  <c r="BM32" i="24" a="1"/>
  <c r="BM32" i="24" s="1"/>
  <c r="BN32" i="24" a="1"/>
  <c r="BN32" i="24" s="1"/>
  <c r="BO32" i="24" a="1"/>
  <c r="BO32" i="24" s="1"/>
  <c r="BP32" i="24" a="1"/>
  <c r="BP32" i="24" s="1"/>
  <c r="BQ32" i="24" a="1"/>
  <c r="BQ32" i="24" s="1"/>
  <c r="BR32" i="24" a="1"/>
  <c r="BR32" i="24" s="1"/>
  <c r="BS32" i="24" a="1"/>
  <c r="BS32" i="24" s="1"/>
  <c r="BT32" i="24" a="1"/>
  <c r="BT32" i="24" s="1"/>
  <c r="BU32" i="24" a="1"/>
  <c r="BU32" i="24" s="1"/>
  <c r="BV32" i="24" a="1"/>
  <c r="BV32" i="24" s="1"/>
  <c r="BW32" i="24" a="1"/>
  <c r="BW32" i="24" s="1"/>
  <c r="BX32" i="24" a="1"/>
  <c r="BX32" i="24" s="1"/>
  <c r="BY32" i="24" a="1"/>
  <c r="BY32" i="24" s="1"/>
  <c r="G31" i="24" a="1"/>
  <c r="G31" i="24" s="1"/>
  <c r="H31" i="24" a="1"/>
  <c r="H31" i="24" s="1"/>
  <c r="I31" i="24" a="1"/>
  <c r="I31" i="24" s="1"/>
  <c r="J31" i="24" a="1"/>
  <c r="J31" i="24" s="1"/>
  <c r="K31" i="24" a="1"/>
  <c r="K31" i="24" s="1"/>
  <c r="L31" i="24" a="1"/>
  <c r="L31" i="24" s="1"/>
  <c r="M31" i="24" a="1"/>
  <c r="M31" i="24" s="1"/>
  <c r="N31" i="24" a="1"/>
  <c r="N31" i="24" s="1"/>
  <c r="O31" i="24" a="1"/>
  <c r="O31" i="24" s="1"/>
  <c r="P31" i="24" a="1"/>
  <c r="P31" i="24" s="1"/>
  <c r="Q31" i="24" a="1"/>
  <c r="Q31" i="24" s="1"/>
  <c r="R31" i="24" a="1"/>
  <c r="R31" i="24" s="1"/>
  <c r="S31" i="24" a="1"/>
  <c r="S31" i="24" s="1"/>
  <c r="T31" i="24" a="1"/>
  <c r="T31" i="24" s="1"/>
  <c r="U31" i="24" a="1"/>
  <c r="U31" i="24" s="1"/>
  <c r="V31" i="24" a="1"/>
  <c r="V31" i="24" s="1"/>
  <c r="W31" i="24" a="1"/>
  <c r="W31" i="24" s="1"/>
  <c r="X31" i="24" a="1"/>
  <c r="X31" i="24" s="1"/>
  <c r="Y31" i="24" a="1"/>
  <c r="Y31" i="24" s="1"/>
  <c r="Z31" i="24" a="1"/>
  <c r="Z31" i="24" s="1"/>
  <c r="AA31" i="24" a="1"/>
  <c r="AA31" i="24" s="1"/>
  <c r="AB31" i="24" a="1"/>
  <c r="AB31" i="24" s="1"/>
  <c r="AC31" i="24" a="1"/>
  <c r="AC31" i="24" s="1"/>
  <c r="AD31" i="24" a="1"/>
  <c r="AD31" i="24" s="1"/>
  <c r="AE31" i="24" a="1"/>
  <c r="AE31" i="24" s="1"/>
  <c r="AF31" i="24" a="1"/>
  <c r="AF31" i="24" s="1"/>
  <c r="AG31" i="24" a="1"/>
  <c r="AG31" i="24" s="1"/>
  <c r="AH31" i="24" a="1"/>
  <c r="AH31" i="24" s="1"/>
  <c r="AI31" i="24" a="1"/>
  <c r="AI31" i="24" s="1"/>
  <c r="AJ31" i="24" a="1"/>
  <c r="AJ31" i="24" s="1"/>
  <c r="AK31" i="24" a="1"/>
  <c r="AK31" i="24" s="1"/>
  <c r="AL31" i="24" a="1"/>
  <c r="AL31" i="24" s="1"/>
  <c r="AM31" i="24" a="1"/>
  <c r="AM31" i="24" s="1"/>
  <c r="AN31" i="24" a="1"/>
  <c r="AN31" i="24" s="1"/>
  <c r="AO31" i="24" a="1"/>
  <c r="AO31" i="24" s="1"/>
  <c r="AP31" i="24" a="1"/>
  <c r="AP31" i="24" s="1"/>
  <c r="AQ31" i="24" a="1"/>
  <c r="AQ31" i="24" s="1"/>
  <c r="AR31" i="24" a="1"/>
  <c r="AR31" i="24" s="1"/>
  <c r="AS31" i="24" a="1"/>
  <c r="AS31" i="24" s="1"/>
  <c r="AT31" i="24" a="1"/>
  <c r="AT31" i="24" s="1"/>
  <c r="AU31" i="24" a="1"/>
  <c r="AU31" i="24" s="1"/>
  <c r="AV31" i="24" a="1"/>
  <c r="AV31" i="24" s="1"/>
  <c r="AW31" i="24" a="1"/>
  <c r="AW31" i="24" s="1"/>
  <c r="AX31" i="24" a="1"/>
  <c r="AX31" i="24" s="1"/>
  <c r="AY31" i="24" a="1"/>
  <c r="AY31" i="24" s="1"/>
  <c r="AZ31" i="24" a="1"/>
  <c r="AZ31" i="24" s="1"/>
  <c r="BA31" i="24" a="1"/>
  <c r="BA31" i="24" s="1"/>
  <c r="BB31" i="24" a="1"/>
  <c r="BB31" i="24" s="1"/>
  <c r="BC31" i="24" a="1"/>
  <c r="BC31" i="24" s="1"/>
  <c r="BD31" i="24" a="1"/>
  <c r="BD31" i="24" s="1"/>
  <c r="BE31" i="24" a="1"/>
  <c r="BE31" i="24" s="1"/>
  <c r="BF31" i="24" a="1"/>
  <c r="BF31" i="24" s="1"/>
  <c r="BG31" i="24" a="1"/>
  <c r="BG31" i="24" s="1"/>
  <c r="BH31" i="24" a="1"/>
  <c r="BH31" i="24" s="1"/>
  <c r="BI31" i="24" a="1"/>
  <c r="BI31" i="24" s="1"/>
  <c r="BJ31" i="24" a="1"/>
  <c r="BJ31" i="24" s="1"/>
  <c r="BK31" i="24" a="1"/>
  <c r="BK31" i="24" s="1"/>
  <c r="BL31" i="24" a="1"/>
  <c r="BL31" i="24" s="1"/>
  <c r="BM31" i="24" a="1"/>
  <c r="BM31" i="24" s="1"/>
  <c r="BN31" i="24" a="1"/>
  <c r="BN31" i="24" s="1"/>
  <c r="BO31" i="24" a="1"/>
  <c r="BO31" i="24" s="1"/>
  <c r="BP31" i="24" a="1"/>
  <c r="BP31" i="24" s="1"/>
  <c r="BQ31" i="24" a="1"/>
  <c r="BQ31" i="24" s="1"/>
  <c r="BR31" i="24" a="1"/>
  <c r="BR31" i="24" s="1"/>
  <c r="BS31" i="24" a="1"/>
  <c r="BS31" i="24" s="1"/>
  <c r="BT31" i="24" a="1"/>
  <c r="BT31" i="24" s="1"/>
  <c r="BU31" i="24" a="1"/>
  <c r="BU31" i="24" s="1"/>
  <c r="BV31" i="24" a="1"/>
  <c r="BV31" i="24" s="1"/>
  <c r="BW31" i="24" a="1"/>
  <c r="BW31" i="24" s="1"/>
  <c r="BX31" i="24" a="1"/>
  <c r="BX31" i="24" s="1"/>
  <c r="BY31" i="24" a="1"/>
  <c r="BY31" i="24" s="1"/>
  <c r="G30" i="24" a="1"/>
  <c r="G30" i="24" s="1"/>
  <c r="H30" i="24" a="1"/>
  <c r="H30" i="24" s="1"/>
  <c r="I30" i="24" a="1"/>
  <c r="I30" i="24" s="1"/>
  <c r="J30" i="24" a="1"/>
  <c r="J30" i="24" s="1"/>
  <c r="K30" i="24" a="1"/>
  <c r="K30" i="24" s="1"/>
  <c r="L30" i="24" a="1"/>
  <c r="L30" i="24" s="1"/>
  <c r="M30" i="24" a="1"/>
  <c r="M30" i="24" s="1"/>
  <c r="N30" i="24" a="1"/>
  <c r="N30" i="24" s="1"/>
  <c r="O30" i="24" a="1"/>
  <c r="O30" i="24" s="1"/>
  <c r="P30" i="24" a="1"/>
  <c r="P30" i="24" s="1"/>
  <c r="Q30" i="24" a="1"/>
  <c r="Q30" i="24" s="1"/>
  <c r="R30" i="24" a="1"/>
  <c r="R30" i="24" s="1"/>
  <c r="S30" i="24" a="1"/>
  <c r="S30" i="24" s="1"/>
  <c r="T30" i="24" a="1"/>
  <c r="T30" i="24" s="1"/>
  <c r="U30" i="24" a="1"/>
  <c r="U30" i="24" s="1"/>
  <c r="V30" i="24" a="1"/>
  <c r="V30" i="24" s="1"/>
  <c r="W30" i="24" a="1"/>
  <c r="W30" i="24" s="1"/>
  <c r="X30" i="24" a="1"/>
  <c r="X30" i="24" s="1"/>
  <c r="Y30" i="24" a="1"/>
  <c r="Y30" i="24" s="1"/>
  <c r="Z30" i="24" a="1"/>
  <c r="Z30" i="24" s="1"/>
  <c r="AA30" i="24" a="1"/>
  <c r="AA30" i="24" s="1"/>
  <c r="AB30" i="24" a="1"/>
  <c r="AB30" i="24" s="1"/>
  <c r="AC30" i="24" a="1"/>
  <c r="AC30" i="24" s="1"/>
  <c r="AD30" i="24" a="1"/>
  <c r="AD30" i="24" s="1"/>
  <c r="AE30" i="24" a="1"/>
  <c r="AE30" i="24" s="1"/>
  <c r="AF30" i="24" a="1"/>
  <c r="AF30" i="24" s="1"/>
  <c r="AG30" i="24" a="1"/>
  <c r="AG30" i="24" s="1"/>
  <c r="AH30" i="24" a="1"/>
  <c r="AH30" i="24" s="1"/>
  <c r="AI30" i="24" a="1"/>
  <c r="AI30" i="24" s="1"/>
  <c r="AJ30" i="24" a="1"/>
  <c r="AJ30" i="24" s="1"/>
  <c r="AK30" i="24" a="1"/>
  <c r="AK30" i="24" s="1"/>
  <c r="AL30" i="24" a="1"/>
  <c r="AL30" i="24" s="1"/>
  <c r="AM30" i="24" a="1"/>
  <c r="AM30" i="24" s="1"/>
  <c r="AN30" i="24" a="1"/>
  <c r="AN30" i="24" s="1"/>
  <c r="AO30" i="24" a="1"/>
  <c r="AO30" i="24" s="1"/>
  <c r="AP30" i="24" a="1"/>
  <c r="AP30" i="24" s="1"/>
  <c r="AQ30" i="24" a="1"/>
  <c r="AQ30" i="24" s="1"/>
  <c r="AR30" i="24" a="1"/>
  <c r="AR30" i="24" s="1"/>
  <c r="AS30" i="24" a="1"/>
  <c r="AS30" i="24" s="1"/>
  <c r="AT30" i="24" a="1"/>
  <c r="AT30" i="24" s="1"/>
  <c r="AU30" i="24" a="1"/>
  <c r="AU30" i="24" s="1"/>
  <c r="AV30" i="24" a="1"/>
  <c r="AV30" i="24" s="1"/>
  <c r="AW30" i="24" a="1"/>
  <c r="AW30" i="24" s="1"/>
  <c r="AX30" i="24" a="1"/>
  <c r="AX30" i="24" s="1"/>
  <c r="AY30" i="24" a="1"/>
  <c r="AY30" i="24" s="1"/>
  <c r="AZ30" i="24" a="1"/>
  <c r="AZ30" i="24" s="1"/>
  <c r="BA30" i="24" a="1"/>
  <c r="BA30" i="24" s="1"/>
  <c r="BB30" i="24" a="1"/>
  <c r="BB30" i="24" s="1"/>
  <c r="BC30" i="24" a="1"/>
  <c r="BC30" i="24" s="1"/>
  <c r="BD30" i="24" a="1"/>
  <c r="BD30" i="24" s="1"/>
  <c r="BE30" i="24" a="1"/>
  <c r="BE30" i="24" s="1"/>
  <c r="BF30" i="24" a="1"/>
  <c r="BF30" i="24" s="1"/>
  <c r="BG30" i="24" a="1"/>
  <c r="BG30" i="24" s="1"/>
  <c r="BH30" i="24" a="1"/>
  <c r="BH30" i="24" s="1"/>
  <c r="BI30" i="24" a="1"/>
  <c r="BI30" i="24" s="1"/>
  <c r="BJ30" i="24" a="1"/>
  <c r="BJ30" i="24" s="1"/>
  <c r="BK30" i="24" a="1"/>
  <c r="BK30" i="24" s="1"/>
  <c r="BL30" i="24" a="1"/>
  <c r="BL30" i="24" s="1"/>
  <c r="BM30" i="24" a="1"/>
  <c r="BM30" i="24" s="1"/>
  <c r="BN30" i="24" a="1"/>
  <c r="BN30" i="24" s="1"/>
  <c r="BO30" i="24" a="1"/>
  <c r="BO30" i="24" s="1"/>
  <c r="BP30" i="24" a="1"/>
  <c r="BP30" i="24" s="1"/>
  <c r="BQ30" i="24" a="1"/>
  <c r="BQ30" i="24" s="1"/>
  <c r="BR30" i="24" a="1"/>
  <c r="BR30" i="24" s="1"/>
  <c r="BS30" i="24" a="1"/>
  <c r="BS30" i="24" s="1"/>
  <c r="BT30" i="24" a="1"/>
  <c r="BT30" i="24" s="1"/>
  <c r="BU30" i="24" a="1"/>
  <c r="BU30" i="24" s="1"/>
  <c r="BV30" i="24" a="1"/>
  <c r="BV30" i="24" s="1"/>
  <c r="BW30" i="24" a="1"/>
  <c r="BW30" i="24" s="1"/>
  <c r="BX30" i="24" a="1"/>
  <c r="BX30" i="24" s="1"/>
  <c r="BY30" i="24" a="1"/>
  <c r="BY30" i="24" s="1"/>
  <c r="G29" i="24" a="1"/>
  <c r="G29" i="24" s="1"/>
  <c r="H29" i="24" a="1"/>
  <c r="H29" i="24" s="1"/>
  <c r="I29" i="24" a="1"/>
  <c r="I29" i="24" s="1"/>
  <c r="J29" i="24" a="1"/>
  <c r="J29" i="24" s="1"/>
  <c r="K29" i="24" a="1"/>
  <c r="K29" i="24" s="1"/>
  <c r="L29" i="24" a="1"/>
  <c r="L29" i="24" s="1"/>
  <c r="M29" i="24" a="1"/>
  <c r="M29" i="24" s="1"/>
  <c r="N29" i="24" a="1"/>
  <c r="N29" i="24" s="1"/>
  <c r="O29" i="24" a="1"/>
  <c r="O29" i="24" s="1"/>
  <c r="P29" i="24" a="1"/>
  <c r="P29" i="24" s="1"/>
  <c r="Q29" i="24" a="1"/>
  <c r="Q29" i="24" s="1"/>
  <c r="R29" i="24" a="1"/>
  <c r="R29" i="24" s="1"/>
  <c r="S29" i="24" a="1"/>
  <c r="S29" i="24" s="1"/>
  <c r="T29" i="24" a="1"/>
  <c r="T29" i="24" s="1"/>
  <c r="U29" i="24" a="1"/>
  <c r="U29" i="24" s="1"/>
  <c r="V29" i="24" a="1"/>
  <c r="V29" i="24" s="1"/>
  <c r="W29" i="24" a="1"/>
  <c r="W29" i="24" s="1"/>
  <c r="X29" i="24" a="1"/>
  <c r="X29" i="24" s="1"/>
  <c r="Y29" i="24" a="1"/>
  <c r="Y29" i="24" s="1"/>
  <c r="Z29" i="24" a="1"/>
  <c r="Z29" i="24" s="1"/>
  <c r="AA29" i="24" a="1"/>
  <c r="AA29" i="24" s="1"/>
  <c r="AB29" i="24" a="1"/>
  <c r="AB29" i="24" s="1"/>
  <c r="AC29" i="24" a="1"/>
  <c r="AC29" i="24" s="1"/>
  <c r="AD29" i="24" a="1"/>
  <c r="AD29" i="24" s="1"/>
  <c r="AE29" i="24" a="1"/>
  <c r="AE29" i="24" s="1"/>
  <c r="AF29" i="24" a="1"/>
  <c r="AF29" i="24" s="1"/>
  <c r="AG29" i="24" a="1"/>
  <c r="AG29" i="24" s="1"/>
  <c r="AH29" i="24" a="1"/>
  <c r="AH29" i="24" s="1"/>
  <c r="AI29" i="24" a="1"/>
  <c r="AI29" i="24" s="1"/>
  <c r="AJ29" i="24" a="1"/>
  <c r="AJ29" i="24" s="1"/>
  <c r="AK29" i="24" a="1"/>
  <c r="AK29" i="24" s="1"/>
  <c r="AL29" i="24" a="1"/>
  <c r="AL29" i="24" s="1"/>
  <c r="AM29" i="24" a="1"/>
  <c r="AM29" i="24" s="1"/>
  <c r="AN29" i="24" a="1"/>
  <c r="AN29" i="24" s="1"/>
  <c r="AO29" i="24" a="1"/>
  <c r="AO29" i="24" s="1"/>
  <c r="AP29" i="24" a="1"/>
  <c r="AP29" i="24" s="1"/>
  <c r="AQ29" i="24" a="1"/>
  <c r="AQ29" i="24" s="1"/>
  <c r="AR29" i="24" a="1"/>
  <c r="AR29" i="24" s="1"/>
  <c r="AS29" i="24" a="1"/>
  <c r="AS29" i="24" s="1"/>
  <c r="AT29" i="24" a="1"/>
  <c r="AT29" i="24" s="1"/>
  <c r="AU29" i="24" a="1"/>
  <c r="AU29" i="24" s="1"/>
  <c r="AV29" i="24" a="1"/>
  <c r="AV29" i="24" s="1"/>
  <c r="AW29" i="24" a="1"/>
  <c r="AW29" i="24" s="1"/>
  <c r="AX29" i="24" a="1"/>
  <c r="AX29" i="24" s="1"/>
  <c r="AY29" i="24" a="1"/>
  <c r="AY29" i="24" s="1"/>
  <c r="AZ29" i="24" a="1"/>
  <c r="AZ29" i="24" s="1"/>
  <c r="BA29" i="24" a="1"/>
  <c r="BA29" i="24" s="1"/>
  <c r="BB29" i="24" a="1"/>
  <c r="BB29" i="24" s="1"/>
  <c r="BC29" i="24" a="1"/>
  <c r="BC29" i="24" s="1"/>
  <c r="BD29" i="24" a="1"/>
  <c r="BD29" i="24" s="1"/>
  <c r="BE29" i="24" a="1"/>
  <c r="BE29" i="24" s="1"/>
  <c r="BF29" i="24" a="1"/>
  <c r="BF29" i="24" s="1"/>
  <c r="BG29" i="24" a="1"/>
  <c r="BG29" i="24" s="1"/>
  <c r="BH29" i="24" a="1"/>
  <c r="BH29" i="24" s="1"/>
  <c r="BI29" i="24" a="1"/>
  <c r="BI29" i="24" s="1"/>
  <c r="BJ29" i="24" a="1"/>
  <c r="BJ29" i="24" s="1"/>
  <c r="BK29" i="24" a="1"/>
  <c r="BK29" i="24" s="1"/>
  <c r="BL29" i="24" a="1"/>
  <c r="BL29" i="24" s="1"/>
  <c r="BM29" i="24" a="1"/>
  <c r="BM29" i="24" s="1"/>
  <c r="BN29" i="24" a="1"/>
  <c r="BN29" i="24" s="1"/>
  <c r="BO29" i="24" a="1"/>
  <c r="BO29" i="24" s="1"/>
  <c r="BP29" i="24" a="1"/>
  <c r="BP29" i="24" s="1"/>
  <c r="BQ29" i="24" a="1"/>
  <c r="BQ29" i="24" s="1"/>
  <c r="BR29" i="24" a="1"/>
  <c r="BR29" i="24" s="1"/>
  <c r="BS29" i="24" a="1"/>
  <c r="BS29" i="24" s="1"/>
  <c r="BT29" i="24" a="1"/>
  <c r="BT29" i="24" s="1"/>
  <c r="BU29" i="24" a="1"/>
  <c r="BU29" i="24" s="1"/>
  <c r="BV29" i="24" a="1"/>
  <c r="BV29" i="24" s="1"/>
  <c r="BW29" i="24" a="1"/>
  <c r="BW29" i="24" s="1"/>
  <c r="BX29" i="24" a="1"/>
  <c r="BX29" i="24" s="1"/>
  <c r="BY29" i="24" a="1"/>
  <c r="BY29" i="24" s="1"/>
  <c r="G28" i="24" a="1"/>
  <c r="G28" i="24" s="1"/>
  <c r="H28" i="24" a="1"/>
  <c r="H28" i="24" s="1"/>
  <c r="I28" i="24" a="1"/>
  <c r="I28" i="24" s="1"/>
  <c r="J28" i="24" a="1"/>
  <c r="J28" i="24" s="1"/>
  <c r="K28" i="24" a="1"/>
  <c r="K28" i="24" s="1"/>
  <c r="L28" i="24" a="1"/>
  <c r="L28" i="24" s="1"/>
  <c r="M28" i="24" a="1"/>
  <c r="M28" i="24" s="1"/>
  <c r="N28" i="24" a="1"/>
  <c r="N28" i="24" s="1"/>
  <c r="O28" i="24" a="1"/>
  <c r="O28" i="24" s="1"/>
  <c r="P28" i="24" a="1"/>
  <c r="P28" i="24" s="1"/>
  <c r="Q28" i="24" a="1"/>
  <c r="Q28" i="24" s="1"/>
  <c r="R28" i="24" a="1"/>
  <c r="R28" i="24" s="1"/>
  <c r="S28" i="24" a="1"/>
  <c r="S28" i="24" s="1"/>
  <c r="T28" i="24" a="1"/>
  <c r="T28" i="24" s="1"/>
  <c r="U28" i="24" a="1"/>
  <c r="U28" i="24" s="1"/>
  <c r="V28" i="24" a="1"/>
  <c r="V28" i="24" s="1"/>
  <c r="W28" i="24" a="1"/>
  <c r="W28" i="24" s="1"/>
  <c r="X28" i="24" a="1"/>
  <c r="X28" i="24" s="1"/>
  <c r="Y28" i="24" a="1"/>
  <c r="Y28" i="24" s="1"/>
  <c r="Z28" i="24" a="1"/>
  <c r="Z28" i="24" s="1"/>
  <c r="AA28" i="24" a="1"/>
  <c r="AA28" i="24" s="1"/>
  <c r="AB28" i="24" a="1"/>
  <c r="AB28" i="24" s="1"/>
  <c r="AC28" i="24" a="1"/>
  <c r="AC28" i="24" s="1"/>
  <c r="AD28" i="24" a="1"/>
  <c r="AD28" i="24" s="1"/>
  <c r="AE28" i="24" a="1"/>
  <c r="AE28" i="24" s="1"/>
  <c r="AF28" i="24" a="1"/>
  <c r="AF28" i="24" s="1"/>
  <c r="AG28" i="24" a="1"/>
  <c r="AG28" i="24" s="1"/>
  <c r="AH28" i="24" a="1"/>
  <c r="AH28" i="24" s="1"/>
  <c r="AI28" i="24" a="1"/>
  <c r="AI28" i="24" s="1"/>
  <c r="AJ28" i="24" a="1"/>
  <c r="AJ28" i="24" s="1"/>
  <c r="AK28" i="24" a="1"/>
  <c r="AK28" i="24" s="1"/>
  <c r="AL28" i="24" a="1"/>
  <c r="AL28" i="24" s="1"/>
  <c r="AM28" i="24" a="1"/>
  <c r="AM28" i="24" s="1"/>
  <c r="AN28" i="24" a="1"/>
  <c r="AN28" i="24" s="1"/>
  <c r="AO28" i="24" a="1"/>
  <c r="AO28" i="24" s="1"/>
  <c r="AP28" i="24" a="1"/>
  <c r="AP28" i="24" s="1"/>
  <c r="AQ28" i="24" a="1"/>
  <c r="AQ28" i="24" s="1"/>
  <c r="AR28" i="24" a="1"/>
  <c r="AR28" i="24" s="1"/>
  <c r="AS28" i="24" a="1"/>
  <c r="AS28" i="24" s="1"/>
  <c r="AT28" i="24" a="1"/>
  <c r="AT28" i="24" s="1"/>
  <c r="AU28" i="24" a="1"/>
  <c r="AU28" i="24" s="1"/>
  <c r="AV28" i="24" a="1"/>
  <c r="AV28" i="24" s="1"/>
  <c r="AW28" i="24" a="1"/>
  <c r="AW28" i="24" s="1"/>
  <c r="AX28" i="24" a="1"/>
  <c r="AX28" i="24" s="1"/>
  <c r="AY28" i="24" a="1"/>
  <c r="AY28" i="24" s="1"/>
  <c r="AZ28" i="24" a="1"/>
  <c r="AZ28" i="24" s="1"/>
  <c r="BA28" i="24" a="1"/>
  <c r="BA28" i="24" s="1"/>
  <c r="BB28" i="24" a="1"/>
  <c r="BB28" i="24" s="1"/>
  <c r="BC28" i="24" a="1"/>
  <c r="BC28" i="24" s="1"/>
  <c r="BD28" i="24" a="1"/>
  <c r="BD28" i="24" s="1"/>
  <c r="BE28" i="24" a="1"/>
  <c r="BE28" i="24" s="1"/>
  <c r="BF28" i="24" a="1"/>
  <c r="BF28" i="24" s="1"/>
  <c r="BG28" i="24" a="1"/>
  <c r="BG28" i="24" s="1"/>
  <c r="BH28" i="24" a="1"/>
  <c r="BH28" i="24" s="1"/>
  <c r="BI28" i="24" a="1"/>
  <c r="BI28" i="24" s="1"/>
  <c r="BJ28" i="24" a="1"/>
  <c r="BJ28" i="24" s="1"/>
  <c r="BK28" i="24" a="1"/>
  <c r="BK28" i="24" s="1"/>
  <c r="BL28" i="24" a="1"/>
  <c r="BL28" i="24" s="1"/>
  <c r="BM28" i="24" a="1"/>
  <c r="BM28" i="24" s="1"/>
  <c r="BN28" i="24" a="1"/>
  <c r="BN28" i="24" s="1"/>
  <c r="BO28" i="24" a="1"/>
  <c r="BO28" i="24" s="1"/>
  <c r="BP28" i="24" a="1"/>
  <c r="BP28" i="24" s="1"/>
  <c r="BQ28" i="24" a="1"/>
  <c r="BQ28" i="24" s="1"/>
  <c r="BR28" i="24" a="1"/>
  <c r="BR28" i="24" s="1"/>
  <c r="BS28" i="24" a="1"/>
  <c r="BS28" i="24" s="1"/>
  <c r="BT28" i="24" a="1"/>
  <c r="BT28" i="24" s="1"/>
  <c r="BU28" i="24" a="1"/>
  <c r="BU28" i="24" s="1"/>
  <c r="BV28" i="24" a="1"/>
  <c r="BV28" i="24" s="1"/>
  <c r="BW28" i="24" a="1"/>
  <c r="BW28" i="24" s="1"/>
  <c r="BX28" i="24" a="1"/>
  <c r="BX28" i="24" s="1"/>
  <c r="BY28" i="24" a="1"/>
  <c r="BY28" i="24" s="1"/>
  <c r="G27" i="24" a="1"/>
  <c r="G27" i="24" s="1"/>
  <c r="H27" i="24" a="1"/>
  <c r="H27" i="24" s="1"/>
  <c r="I27" i="24" a="1"/>
  <c r="I27" i="24" s="1"/>
  <c r="J27" i="24" a="1"/>
  <c r="J27" i="24" s="1"/>
  <c r="K27" i="24" a="1"/>
  <c r="K27" i="24" s="1"/>
  <c r="L27" i="24" a="1"/>
  <c r="L27" i="24" s="1"/>
  <c r="M27" i="24" a="1"/>
  <c r="M27" i="24" s="1"/>
  <c r="N27" i="24" a="1"/>
  <c r="N27" i="24" s="1"/>
  <c r="O27" i="24" a="1"/>
  <c r="O27" i="24" s="1"/>
  <c r="P27" i="24" a="1"/>
  <c r="P27" i="24" s="1"/>
  <c r="Q27" i="24" a="1"/>
  <c r="Q27" i="24" s="1"/>
  <c r="R27" i="24" a="1"/>
  <c r="R27" i="24" s="1"/>
  <c r="S27" i="24" a="1"/>
  <c r="S27" i="24" s="1"/>
  <c r="T27" i="24" a="1"/>
  <c r="T27" i="24" s="1"/>
  <c r="U27" i="24" a="1"/>
  <c r="U27" i="24" s="1"/>
  <c r="V27" i="24" a="1"/>
  <c r="V27" i="24" s="1"/>
  <c r="W27" i="24" a="1"/>
  <c r="W27" i="24" s="1"/>
  <c r="X27" i="24" a="1"/>
  <c r="X27" i="24" s="1"/>
  <c r="Y27" i="24" a="1"/>
  <c r="Y27" i="24" s="1"/>
  <c r="Z27" i="24" a="1"/>
  <c r="Z27" i="24" s="1"/>
  <c r="AA27" i="24" a="1"/>
  <c r="AA27" i="24" s="1"/>
  <c r="AB27" i="24" a="1"/>
  <c r="AB27" i="24" s="1"/>
  <c r="AC27" i="24" a="1"/>
  <c r="AC27" i="24" s="1"/>
  <c r="AD27" i="24" a="1"/>
  <c r="AD27" i="24" s="1"/>
  <c r="AE27" i="24" a="1"/>
  <c r="AE27" i="24" s="1"/>
  <c r="AF27" i="24" a="1"/>
  <c r="AF27" i="24" s="1"/>
  <c r="AG27" i="24" a="1"/>
  <c r="AG27" i="24" s="1"/>
  <c r="AH27" i="24" a="1"/>
  <c r="AH27" i="24" s="1"/>
  <c r="AI27" i="24" a="1"/>
  <c r="AI27" i="24" s="1"/>
  <c r="AJ27" i="24" a="1"/>
  <c r="AJ27" i="24" s="1"/>
  <c r="AK27" i="24" a="1"/>
  <c r="AK27" i="24" s="1"/>
  <c r="AL27" i="24" a="1"/>
  <c r="AL27" i="24" s="1"/>
  <c r="AM27" i="24" a="1"/>
  <c r="AM27" i="24" s="1"/>
  <c r="AN27" i="24" a="1"/>
  <c r="AN27" i="24" s="1"/>
  <c r="AO27" i="24" a="1"/>
  <c r="AO27" i="24" s="1"/>
  <c r="AP27" i="24" a="1"/>
  <c r="AP27" i="24" s="1"/>
  <c r="AQ27" i="24" a="1"/>
  <c r="AQ27" i="24" s="1"/>
  <c r="AR27" i="24" a="1"/>
  <c r="AR27" i="24" s="1"/>
  <c r="AS27" i="24" a="1"/>
  <c r="AS27" i="24" s="1"/>
  <c r="AT27" i="24" a="1"/>
  <c r="AT27" i="24" s="1"/>
  <c r="AU27" i="24" a="1"/>
  <c r="AU27" i="24" s="1"/>
  <c r="AV27" i="24" a="1"/>
  <c r="AV27" i="24" s="1"/>
  <c r="AW27" i="24" a="1"/>
  <c r="AW27" i="24" s="1"/>
  <c r="AX27" i="24" a="1"/>
  <c r="AX27" i="24" s="1"/>
  <c r="AY27" i="24" a="1"/>
  <c r="AY27" i="24" s="1"/>
  <c r="AZ27" i="24" a="1"/>
  <c r="AZ27" i="24" s="1"/>
  <c r="BA27" i="24" a="1"/>
  <c r="BA27" i="24" s="1"/>
  <c r="BB27" i="24" a="1"/>
  <c r="BB27" i="24" s="1"/>
  <c r="BC27" i="24" a="1"/>
  <c r="BC27" i="24" s="1"/>
  <c r="BD27" i="24" a="1"/>
  <c r="BD27" i="24" s="1"/>
  <c r="BE27" i="24" a="1"/>
  <c r="BE27" i="24" s="1"/>
  <c r="BF27" i="24" a="1"/>
  <c r="BF27" i="24" s="1"/>
  <c r="BG27" i="24" a="1"/>
  <c r="BG27" i="24" s="1"/>
  <c r="BH27" i="24" a="1"/>
  <c r="BH27" i="24" s="1"/>
  <c r="BI27" i="24" a="1"/>
  <c r="BI27" i="24" s="1"/>
  <c r="BJ27" i="24" a="1"/>
  <c r="BJ27" i="24" s="1"/>
  <c r="BK27" i="24" a="1"/>
  <c r="BK27" i="24" s="1"/>
  <c r="BL27" i="24" a="1"/>
  <c r="BL27" i="24" s="1"/>
  <c r="BM27" i="24" a="1"/>
  <c r="BM27" i="24" s="1"/>
  <c r="BN27" i="24" a="1"/>
  <c r="BN27" i="24" s="1"/>
  <c r="BO27" i="24" a="1"/>
  <c r="BO27" i="24" s="1"/>
  <c r="BP27" i="24" a="1"/>
  <c r="BP27" i="24" s="1"/>
  <c r="BQ27" i="24" a="1"/>
  <c r="BQ27" i="24" s="1"/>
  <c r="BR27" i="24" a="1"/>
  <c r="BR27" i="24" s="1"/>
  <c r="BS27" i="24" a="1"/>
  <c r="BS27" i="24" s="1"/>
  <c r="BT27" i="24" a="1"/>
  <c r="BT27" i="24" s="1"/>
  <c r="BU27" i="24" a="1"/>
  <c r="BU27" i="24" s="1"/>
  <c r="BV27" i="24" a="1"/>
  <c r="BV27" i="24" s="1"/>
  <c r="BW27" i="24" a="1"/>
  <c r="BW27" i="24" s="1"/>
  <c r="BX27" i="24" a="1"/>
  <c r="BX27" i="24" s="1"/>
  <c r="BY27" i="24" a="1"/>
  <c r="BY27" i="24" s="1"/>
  <c r="G26" i="24" a="1"/>
  <c r="G26" i="24" s="1"/>
  <c r="H26" i="24" a="1"/>
  <c r="H26" i="24" s="1"/>
  <c r="I26" i="24" a="1"/>
  <c r="I26" i="24" s="1"/>
  <c r="J26" i="24" a="1"/>
  <c r="J26" i="24" s="1"/>
  <c r="K26" i="24" a="1"/>
  <c r="K26" i="24" s="1"/>
  <c r="L26" i="24" a="1"/>
  <c r="L26" i="24" s="1"/>
  <c r="M26" i="24" a="1"/>
  <c r="M26" i="24" s="1"/>
  <c r="N26" i="24" a="1"/>
  <c r="N26" i="24" s="1"/>
  <c r="O26" i="24" a="1"/>
  <c r="O26" i="24" s="1"/>
  <c r="P26" i="24" a="1"/>
  <c r="P26" i="24" s="1"/>
  <c r="Q26" i="24" a="1"/>
  <c r="Q26" i="24" s="1"/>
  <c r="R26" i="24" a="1"/>
  <c r="R26" i="24" s="1"/>
  <c r="S26" i="24" a="1"/>
  <c r="S26" i="24" s="1"/>
  <c r="T26" i="24" a="1"/>
  <c r="T26" i="24" s="1"/>
  <c r="U26" i="24" a="1"/>
  <c r="U26" i="24" s="1"/>
  <c r="V26" i="24" a="1"/>
  <c r="V26" i="24" s="1"/>
  <c r="W26" i="24" a="1"/>
  <c r="W26" i="24" s="1"/>
  <c r="X26" i="24" a="1"/>
  <c r="X26" i="24" s="1"/>
  <c r="Y26" i="24" a="1"/>
  <c r="Y26" i="24" s="1"/>
  <c r="Z26" i="24" a="1"/>
  <c r="Z26" i="24" s="1"/>
  <c r="AA26" i="24" a="1"/>
  <c r="AA26" i="24" s="1"/>
  <c r="AB26" i="24" a="1"/>
  <c r="AB26" i="24" s="1"/>
  <c r="AC26" i="24" a="1"/>
  <c r="AC26" i="24" s="1"/>
  <c r="AD26" i="24" a="1"/>
  <c r="AD26" i="24" s="1"/>
  <c r="AE26" i="24" a="1"/>
  <c r="AE26" i="24" s="1"/>
  <c r="AF26" i="24" a="1"/>
  <c r="AF26" i="24" s="1"/>
  <c r="AG26" i="24" a="1"/>
  <c r="AG26" i="24" s="1"/>
  <c r="AH26" i="24" a="1"/>
  <c r="AH26" i="24" s="1"/>
  <c r="AI26" i="24" a="1"/>
  <c r="AI26" i="24" s="1"/>
  <c r="AJ26" i="24" a="1"/>
  <c r="AJ26" i="24" s="1"/>
  <c r="AK26" i="24" a="1"/>
  <c r="AK26" i="24" s="1"/>
  <c r="AL26" i="24" a="1"/>
  <c r="AL26" i="24" s="1"/>
  <c r="AM26" i="24" a="1"/>
  <c r="AM26" i="24" s="1"/>
  <c r="AN26" i="24" a="1"/>
  <c r="AN26" i="24" s="1"/>
  <c r="AO26" i="24" a="1"/>
  <c r="AO26" i="24" s="1"/>
  <c r="AP26" i="24" a="1"/>
  <c r="AP26" i="24" s="1"/>
  <c r="AQ26" i="24" a="1"/>
  <c r="AQ26" i="24" s="1"/>
  <c r="AR26" i="24" a="1"/>
  <c r="AR26" i="24" s="1"/>
  <c r="AS26" i="24" a="1"/>
  <c r="AS26" i="24" s="1"/>
  <c r="AT26" i="24" a="1"/>
  <c r="AT26" i="24" s="1"/>
  <c r="AU26" i="24" a="1"/>
  <c r="AU26" i="24" s="1"/>
  <c r="AV26" i="24" a="1"/>
  <c r="AV26" i="24" s="1"/>
  <c r="AW26" i="24" a="1"/>
  <c r="AW26" i="24" s="1"/>
  <c r="AX26" i="24" a="1"/>
  <c r="AX26" i="24" s="1"/>
  <c r="AY26" i="24" a="1"/>
  <c r="AY26" i="24" s="1"/>
  <c r="AZ26" i="24" a="1"/>
  <c r="AZ26" i="24" s="1"/>
  <c r="BA26" i="24" a="1"/>
  <c r="BA26" i="24" s="1"/>
  <c r="BB26" i="24" a="1"/>
  <c r="BB26" i="24" s="1"/>
  <c r="BC26" i="24" a="1"/>
  <c r="BC26" i="24" s="1"/>
  <c r="BD26" i="24" a="1"/>
  <c r="BD26" i="24" s="1"/>
  <c r="BE26" i="24" a="1"/>
  <c r="BE26" i="24" s="1"/>
  <c r="BF26" i="24" a="1"/>
  <c r="BF26" i="24" s="1"/>
  <c r="BG26" i="24" a="1"/>
  <c r="BG26" i="24" s="1"/>
  <c r="BH26" i="24" a="1"/>
  <c r="BH26" i="24" s="1"/>
  <c r="BI26" i="24" a="1"/>
  <c r="BI26" i="24" s="1"/>
  <c r="BJ26" i="24" a="1"/>
  <c r="BJ26" i="24" s="1"/>
  <c r="BK26" i="24" a="1"/>
  <c r="BK26" i="24" s="1"/>
  <c r="BL26" i="24" a="1"/>
  <c r="BL26" i="24" s="1"/>
  <c r="BM26" i="24" a="1"/>
  <c r="BM26" i="24" s="1"/>
  <c r="BN26" i="24" a="1"/>
  <c r="BN26" i="24" s="1"/>
  <c r="BO26" i="24" a="1"/>
  <c r="BO26" i="24" s="1"/>
  <c r="BP26" i="24" a="1"/>
  <c r="BP26" i="24" s="1"/>
  <c r="BQ26" i="24" a="1"/>
  <c r="BQ26" i="24" s="1"/>
  <c r="BR26" i="24" a="1"/>
  <c r="BR26" i="24" s="1"/>
  <c r="BS26" i="24" a="1"/>
  <c r="BS26" i="24" s="1"/>
  <c r="BT26" i="24" a="1"/>
  <c r="BT26" i="24" s="1"/>
  <c r="BU26" i="24" a="1"/>
  <c r="BU26" i="24" s="1"/>
  <c r="BV26" i="24" a="1"/>
  <c r="BV26" i="24" s="1"/>
  <c r="BW26" i="24" a="1"/>
  <c r="BW26" i="24" s="1"/>
  <c r="BX26" i="24" a="1"/>
  <c r="BX26" i="24" s="1"/>
  <c r="BY26" i="24" a="1"/>
  <c r="BY26" i="24" s="1"/>
  <c r="F26" i="24" a="1"/>
  <c r="F26" i="24" s="1"/>
  <c r="F27" i="24" a="1"/>
  <c r="F27" i="24" s="1"/>
  <c r="F28" i="24" a="1"/>
  <c r="F28" i="24" s="1"/>
  <c r="F29" i="24" a="1"/>
  <c r="F29" i="24" s="1"/>
  <c r="F30" i="24" a="1"/>
  <c r="F30" i="24" s="1"/>
  <c r="F31" i="24" a="1"/>
  <c r="F31" i="24" s="1"/>
  <c r="F32" i="24" a="1"/>
  <c r="F32" i="24" s="1"/>
  <c r="G16" i="24"/>
  <c r="G48" i="24" s="1"/>
  <c r="H16" i="24"/>
  <c r="H48" i="24" s="1"/>
  <c r="I16" i="24"/>
  <c r="I48" i="24" s="1"/>
  <c r="J16" i="24"/>
  <c r="J48" i="24" s="1"/>
  <c r="K16" i="24"/>
  <c r="K48" i="24" s="1"/>
  <c r="L16" i="24"/>
  <c r="L48" i="24" s="1"/>
  <c r="M16" i="24"/>
  <c r="M48" i="24" s="1"/>
  <c r="N16" i="24"/>
  <c r="N48" i="24" s="1"/>
  <c r="O16" i="24"/>
  <c r="O48" i="24" s="1"/>
  <c r="P16" i="24"/>
  <c r="P48" i="24" s="1"/>
  <c r="Q16" i="24"/>
  <c r="Q48" i="24" s="1"/>
  <c r="R16" i="24"/>
  <c r="R48" i="24" s="1"/>
  <c r="S16" i="24"/>
  <c r="S48" i="24" s="1"/>
  <c r="T16" i="24"/>
  <c r="T48" i="24" s="1"/>
  <c r="U16" i="24"/>
  <c r="U48" i="24" s="1"/>
  <c r="V16" i="24"/>
  <c r="V48" i="24" s="1"/>
  <c r="W16" i="24"/>
  <c r="W48" i="24" s="1"/>
  <c r="X16" i="24"/>
  <c r="X48" i="24" s="1"/>
  <c r="Y16" i="24"/>
  <c r="Y48" i="24" s="1"/>
  <c r="Z16" i="24"/>
  <c r="Z48" i="24" s="1"/>
  <c r="AA16" i="24"/>
  <c r="AA48" i="24" s="1"/>
  <c r="AB16" i="24"/>
  <c r="AB48" i="24" s="1"/>
  <c r="AC16" i="24"/>
  <c r="AC48" i="24" s="1"/>
  <c r="AD16" i="24"/>
  <c r="AD48" i="24" s="1"/>
  <c r="AE16" i="24"/>
  <c r="AE48" i="24" s="1"/>
  <c r="AF16" i="24"/>
  <c r="AF48" i="24" s="1"/>
  <c r="AG16" i="24"/>
  <c r="AG48" i="24" s="1"/>
  <c r="AH16" i="24"/>
  <c r="AH48" i="24" s="1"/>
  <c r="AI16" i="24"/>
  <c r="AI48" i="24" s="1"/>
  <c r="AJ16" i="24"/>
  <c r="AJ48" i="24" s="1"/>
  <c r="AK16" i="24"/>
  <c r="AK48" i="24" s="1"/>
  <c r="AL16" i="24"/>
  <c r="AL48" i="24" s="1"/>
  <c r="AM16" i="24"/>
  <c r="AM48" i="24" s="1"/>
  <c r="AN16" i="24"/>
  <c r="AN48" i="24" s="1"/>
  <c r="AO16" i="24"/>
  <c r="AO48" i="24" s="1"/>
  <c r="AP16" i="24"/>
  <c r="AP48" i="24" s="1"/>
  <c r="AQ16" i="24"/>
  <c r="AQ48" i="24" s="1"/>
  <c r="AR16" i="24"/>
  <c r="AR48" i="24" s="1"/>
  <c r="AS16" i="24"/>
  <c r="AS48" i="24" s="1"/>
  <c r="AT16" i="24"/>
  <c r="AT48" i="24" s="1"/>
  <c r="AU16" i="24"/>
  <c r="AU48" i="24" s="1"/>
  <c r="AV16" i="24"/>
  <c r="AV48" i="24" s="1"/>
  <c r="AW16" i="24"/>
  <c r="AW48" i="24" s="1"/>
  <c r="AX16" i="24"/>
  <c r="AX48" i="24" s="1"/>
  <c r="AY16" i="24"/>
  <c r="AY48" i="24" s="1"/>
  <c r="AZ16" i="24"/>
  <c r="AZ48" i="24" s="1"/>
  <c r="BA16" i="24"/>
  <c r="BA48" i="24" s="1"/>
  <c r="BB16" i="24"/>
  <c r="BB48" i="24" s="1"/>
  <c r="BC16" i="24"/>
  <c r="BC48" i="24" s="1"/>
  <c r="BD16" i="24"/>
  <c r="BD48" i="24" s="1"/>
  <c r="BE16" i="24"/>
  <c r="BE48" i="24" s="1"/>
  <c r="BF16" i="24"/>
  <c r="BF48" i="24" s="1"/>
  <c r="BG16" i="24"/>
  <c r="BG48" i="24" s="1"/>
  <c r="BH16" i="24"/>
  <c r="BH48" i="24" s="1"/>
  <c r="BI16" i="24"/>
  <c r="BI48" i="24" s="1"/>
  <c r="BJ16" i="24"/>
  <c r="BJ48" i="24" s="1"/>
  <c r="BK16" i="24"/>
  <c r="BK48" i="24" s="1"/>
  <c r="BL16" i="24"/>
  <c r="BL48" i="24" s="1"/>
  <c r="BM16" i="24"/>
  <c r="BM48" i="24" s="1"/>
  <c r="BN16" i="24"/>
  <c r="BN48" i="24" s="1"/>
  <c r="BO16" i="24"/>
  <c r="BO48" i="24" s="1"/>
  <c r="BP16" i="24"/>
  <c r="BP48" i="24" s="1"/>
  <c r="BQ16" i="24"/>
  <c r="BQ48" i="24" s="1"/>
  <c r="BR16" i="24"/>
  <c r="BR48" i="24" s="1"/>
  <c r="BS16" i="24"/>
  <c r="BS48" i="24" s="1"/>
  <c r="BT16" i="24"/>
  <c r="BT48" i="24" s="1"/>
  <c r="BU16" i="24"/>
  <c r="BU48" i="24" s="1"/>
  <c r="BV16" i="24"/>
  <c r="BV48" i="24" s="1"/>
  <c r="BW16" i="24"/>
  <c r="BW48" i="24" s="1"/>
  <c r="BX16" i="24"/>
  <c r="BX48" i="24" s="1"/>
  <c r="BY16" i="24"/>
  <c r="G15" i="24"/>
  <c r="G47" i="24" s="1"/>
  <c r="H15" i="24"/>
  <c r="H47" i="24" s="1"/>
  <c r="I15" i="24"/>
  <c r="I47" i="24" s="1"/>
  <c r="J15" i="24"/>
  <c r="J47" i="24" s="1"/>
  <c r="K15" i="24"/>
  <c r="K47" i="24" s="1"/>
  <c r="L15" i="24"/>
  <c r="L47" i="24" s="1"/>
  <c r="M15" i="24"/>
  <c r="M47" i="24" s="1"/>
  <c r="N15" i="24"/>
  <c r="N47" i="24" s="1"/>
  <c r="O15" i="24"/>
  <c r="O47" i="24" s="1"/>
  <c r="P15" i="24"/>
  <c r="P47" i="24" s="1"/>
  <c r="Q15" i="24"/>
  <c r="Q47" i="24" s="1"/>
  <c r="R15" i="24"/>
  <c r="R47" i="24" s="1"/>
  <c r="S15" i="24"/>
  <c r="S47" i="24" s="1"/>
  <c r="T15" i="24"/>
  <c r="T47" i="24" s="1"/>
  <c r="U15" i="24"/>
  <c r="U47" i="24" s="1"/>
  <c r="V15" i="24"/>
  <c r="V47" i="24" s="1"/>
  <c r="W15" i="24"/>
  <c r="W47" i="24" s="1"/>
  <c r="X15" i="24"/>
  <c r="X47" i="24" s="1"/>
  <c r="Y15" i="24"/>
  <c r="Y47" i="24" s="1"/>
  <c r="Z15" i="24"/>
  <c r="Z47" i="24" s="1"/>
  <c r="AA15" i="24"/>
  <c r="AA47" i="24" s="1"/>
  <c r="AB15" i="24"/>
  <c r="AB47" i="24" s="1"/>
  <c r="AC15" i="24"/>
  <c r="AC47" i="24" s="1"/>
  <c r="AD15" i="24"/>
  <c r="AD47" i="24" s="1"/>
  <c r="AE15" i="24"/>
  <c r="AE47" i="24" s="1"/>
  <c r="AF15" i="24"/>
  <c r="AF47" i="24" s="1"/>
  <c r="AG15" i="24"/>
  <c r="AG47" i="24" s="1"/>
  <c r="AH15" i="24"/>
  <c r="AH47" i="24" s="1"/>
  <c r="AI15" i="24"/>
  <c r="AI47" i="24" s="1"/>
  <c r="AJ15" i="24"/>
  <c r="AJ47" i="24" s="1"/>
  <c r="AK15" i="24"/>
  <c r="AK47" i="24" s="1"/>
  <c r="AL15" i="24"/>
  <c r="AL47" i="24" s="1"/>
  <c r="AM15" i="24"/>
  <c r="AM47" i="24" s="1"/>
  <c r="AN15" i="24"/>
  <c r="AN47" i="24" s="1"/>
  <c r="AO15" i="24"/>
  <c r="AO47" i="24" s="1"/>
  <c r="AP15" i="24"/>
  <c r="AP47" i="24" s="1"/>
  <c r="AQ15" i="24"/>
  <c r="AQ47" i="24" s="1"/>
  <c r="AR15" i="24"/>
  <c r="AR47" i="24" s="1"/>
  <c r="AS15" i="24"/>
  <c r="AS47" i="24" s="1"/>
  <c r="AT15" i="24"/>
  <c r="AT47" i="24" s="1"/>
  <c r="AU15" i="24"/>
  <c r="AU47" i="24" s="1"/>
  <c r="AV15" i="24"/>
  <c r="AV47" i="24" s="1"/>
  <c r="AW15" i="24"/>
  <c r="AW47" i="24" s="1"/>
  <c r="AX15" i="24"/>
  <c r="AX47" i="24" s="1"/>
  <c r="AY15" i="24"/>
  <c r="AY47" i="24" s="1"/>
  <c r="AZ15" i="24"/>
  <c r="AZ47" i="24" s="1"/>
  <c r="BA15" i="24"/>
  <c r="BA47" i="24" s="1"/>
  <c r="BB15" i="24"/>
  <c r="BB47" i="24" s="1"/>
  <c r="BC15" i="24"/>
  <c r="BC47" i="24" s="1"/>
  <c r="BD15" i="24"/>
  <c r="BD47" i="24" s="1"/>
  <c r="BE15" i="24"/>
  <c r="BE47" i="24" s="1"/>
  <c r="BF15" i="24"/>
  <c r="BF47" i="24" s="1"/>
  <c r="BG15" i="24"/>
  <c r="BG47" i="24" s="1"/>
  <c r="BH15" i="24"/>
  <c r="BH47" i="24" s="1"/>
  <c r="BI15" i="24"/>
  <c r="BI47" i="24" s="1"/>
  <c r="BJ15" i="24"/>
  <c r="BJ47" i="24" s="1"/>
  <c r="BK15" i="24"/>
  <c r="BK47" i="24" s="1"/>
  <c r="BL15" i="24"/>
  <c r="BL47" i="24" s="1"/>
  <c r="BM15" i="24"/>
  <c r="BM47" i="24" s="1"/>
  <c r="BN15" i="24"/>
  <c r="BN47" i="24" s="1"/>
  <c r="BO15" i="24"/>
  <c r="BO47" i="24" s="1"/>
  <c r="BP15" i="24"/>
  <c r="BP47" i="24" s="1"/>
  <c r="BQ15" i="24"/>
  <c r="BQ47" i="24" s="1"/>
  <c r="BR15" i="24"/>
  <c r="BR47" i="24" s="1"/>
  <c r="BS15" i="24"/>
  <c r="BS47" i="24" s="1"/>
  <c r="BT15" i="24"/>
  <c r="BT47" i="24" s="1"/>
  <c r="BU15" i="24"/>
  <c r="BU47" i="24" s="1"/>
  <c r="BV15" i="24"/>
  <c r="BV47" i="24" s="1"/>
  <c r="BW15" i="24"/>
  <c r="BW47" i="24" s="1"/>
  <c r="BX15" i="24"/>
  <c r="BX47" i="24" s="1"/>
  <c r="BY15" i="24"/>
  <c r="BY47" i="24" s="1"/>
  <c r="G14" i="24"/>
  <c r="G46" i="24" s="1"/>
  <c r="H14" i="24"/>
  <c r="H46" i="24" s="1"/>
  <c r="I14" i="24"/>
  <c r="I46" i="24" s="1"/>
  <c r="J14" i="24"/>
  <c r="J46" i="24" s="1"/>
  <c r="K14" i="24"/>
  <c r="K46" i="24" s="1"/>
  <c r="L14" i="24"/>
  <c r="L46" i="24" s="1"/>
  <c r="M14" i="24"/>
  <c r="M46" i="24" s="1"/>
  <c r="N14" i="24"/>
  <c r="N46" i="24" s="1"/>
  <c r="O14" i="24"/>
  <c r="O46" i="24" s="1"/>
  <c r="P14" i="24"/>
  <c r="P46" i="24" s="1"/>
  <c r="Q14" i="24"/>
  <c r="Q46" i="24" s="1"/>
  <c r="R14" i="24"/>
  <c r="R46" i="24" s="1"/>
  <c r="S14" i="24"/>
  <c r="S46" i="24" s="1"/>
  <c r="T14" i="24"/>
  <c r="T46" i="24" s="1"/>
  <c r="U14" i="24"/>
  <c r="U46" i="24" s="1"/>
  <c r="V14" i="24"/>
  <c r="V46" i="24" s="1"/>
  <c r="W14" i="24"/>
  <c r="W46" i="24" s="1"/>
  <c r="X14" i="24"/>
  <c r="X46" i="24" s="1"/>
  <c r="Y14" i="24"/>
  <c r="Y46" i="24" s="1"/>
  <c r="Z14" i="24"/>
  <c r="Z46" i="24" s="1"/>
  <c r="AA14" i="24"/>
  <c r="AA46" i="24" s="1"/>
  <c r="AB14" i="24"/>
  <c r="AB46" i="24" s="1"/>
  <c r="AC14" i="24"/>
  <c r="AC46" i="24" s="1"/>
  <c r="AD14" i="24"/>
  <c r="AD46" i="24" s="1"/>
  <c r="AE14" i="24"/>
  <c r="AE46" i="24" s="1"/>
  <c r="AF14" i="24"/>
  <c r="AF46" i="24" s="1"/>
  <c r="AG14" i="24"/>
  <c r="AG46" i="24" s="1"/>
  <c r="AH14" i="24"/>
  <c r="AH46" i="24" s="1"/>
  <c r="AI14" i="24"/>
  <c r="AI46" i="24" s="1"/>
  <c r="AJ14" i="24"/>
  <c r="AJ46" i="24" s="1"/>
  <c r="AK14" i="24"/>
  <c r="AK46" i="24" s="1"/>
  <c r="AL14" i="24"/>
  <c r="AL46" i="24" s="1"/>
  <c r="AM14" i="24"/>
  <c r="AM46" i="24" s="1"/>
  <c r="AN14" i="24"/>
  <c r="AN46" i="24" s="1"/>
  <c r="AO14" i="24"/>
  <c r="AO46" i="24" s="1"/>
  <c r="AP14" i="24"/>
  <c r="AP46" i="24" s="1"/>
  <c r="AQ14" i="24"/>
  <c r="AQ46" i="24" s="1"/>
  <c r="AR14" i="24"/>
  <c r="AR46" i="24" s="1"/>
  <c r="AS14" i="24"/>
  <c r="AS46" i="24" s="1"/>
  <c r="AT14" i="24"/>
  <c r="AT46" i="24" s="1"/>
  <c r="AU14" i="24"/>
  <c r="AU46" i="24" s="1"/>
  <c r="AV14" i="24"/>
  <c r="AV46" i="24" s="1"/>
  <c r="AW14" i="24"/>
  <c r="AW46" i="24" s="1"/>
  <c r="AX14" i="24"/>
  <c r="AX46" i="24" s="1"/>
  <c r="AY14" i="24"/>
  <c r="AY46" i="24" s="1"/>
  <c r="AZ14" i="24"/>
  <c r="AZ46" i="24" s="1"/>
  <c r="BA14" i="24"/>
  <c r="BA46" i="24" s="1"/>
  <c r="BB14" i="24"/>
  <c r="BB46" i="24" s="1"/>
  <c r="BC14" i="24"/>
  <c r="BC46" i="24" s="1"/>
  <c r="BD14" i="24"/>
  <c r="BD46" i="24" s="1"/>
  <c r="BE14" i="24"/>
  <c r="BE46" i="24" s="1"/>
  <c r="BF14" i="24"/>
  <c r="BF46" i="24" s="1"/>
  <c r="BG14" i="24"/>
  <c r="BG46" i="24" s="1"/>
  <c r="BH14" i="24"/>
  <c r="BH46" i="24" s="1"/>
  <c r="BI14" i="24"/>
  <c r="BI46" i="24" s="1"/>
  <c r="BJ14" i="24"/>
  <c r="BJ46" i="24" s="1"/>
  <c r="BK14" i="24"/>
  <c r="BK46" i="24" s="1"/>
  <c r="BL14" i="24"/>
  <c r="BL46" i="24" s="1"/>
  <c r="BM14" i="24"/>
  <c r="BM46" i="24" s="1"/>
  <c r="BN14" i="24"/>
  <c r="BN46" i="24" s="1"/>
  <c r="BO14" i="24"/>
  <c r="BO46" i="24" s="1"/>
  <c r="BP14" i="24"/>
  <c r="BP46" i="24" s="1"/>
  <c r="BQ14" i="24"/>
  <c r="BQ46" i="24" s="1"/>
  <c r="BR14" i="24"/>
  <c r="BR46" i="24" s="1"/>
  <c r="BS14" i="24"/>
  <c r="BS46" i="24" s="1"/>
  <c r="BT14" i="24"/>
  <c r="BT46" i="24" s="1"/>
  <c r="BU14" i="24"/>
  <c r="BU46" i="24" s="1"/>
  <c r="BV14" i="24"/>
  <c r="BV46" i="24" s="1"/>
  <c r="BW14" i="24"/>
  <c r="BW46" i="24" s="1"/>
  <c r="BX14" i="24"/>
  <c r="BX46" i="24" s="1"/>
  <c r="BY14" i="24"/>
  <c r="BY46" i="24" s="1"/>
  <c r="G13" i="24"/>
  <c r="G45" i="24" s="1"/>
  <c r="H13" i="24"/>
  <c r="H45" i="24" s="1"/>
  <c r="I13" i="24"/>
  <c r="I45" i="24" s="1"/>
  <c r="J13" i="24"/>
  <c r="J45" i="24" s="1"/>
  <c r="K13" i="24"/>
  <c r="K45" i="24" s="1"/>
  <c r="L13" i="24"/>
  <c r="L45" i="24" s="1"/>
  <c r="M13" i="24"/>
  <c r="M45" i="24" s="1"/>
  <c r="N13" i="24"/>
  <c r="N45" i="24" s="1"/>
  <c r="O13" i="24"/>
  <c r="O45" i="24" s="1"/>
  <c r="P13" i="24"/>
  <c r="P45" i="24" s="1"/>
  <c r="Q13" i="24"/>
  <c r="Q45" i="24" s="1"/>
  <c r="R13" i="24"/>
  <c r="R45" i="24" s="1"/>
  <c r="S13" i="24"/>
  <c r="S45" i="24" s="1"/>
  <c r="T13" i="24"/>
  <c r="T45" i="24" s="1"/>
  <c r="U13" i="24"/>
  <c r="U45" i="24" s="1"/>
  <c r="V13" i="24"/>
  <c r="V45" i="24" s="1"/>
  <c r="W13" i="24"/>
  <c r="W45" i="24" s="1"/>
  <c r="X13" i="24"/>
  <c r="X45" i="24" s="1"/>
  <c r="Y13" i="24"/>
  <c r="Y45" i="24" s="1"/>
  <c r="Z13" i="24"/>
  <c r="Z45" i="24" s="1"/>
  <c r="AA13" i="24"/>
  <c r="AA45" i="24" s="1"/>
  <c r="AB13" i="24"/>
  <c r="AB45" i="24" s="1"/>
  <c r="AC13" i="24"/>
  <c r="AC45" i="24" s="1"/>
  <c r="AD13" i="24"/>
  <c r="AD45" i="24" s="1"/>
  <c r="AE13" i="24"/>
  <c r="AE45" i="24" s="1"/>
  <c r="AF13" i="24"/>
  <c r="AF45" i="24" s="1"/>
  <c r="AG13" i="24"/>
  <c r="AG45" i="24" s="1"/>
  <c r="AH13" i="24"/>
  <c r="AH45" i="24" s="1"/>
  <c r="AI13" i="24"/>
  <c r="AI45" i="24" s="1"/>
  <c r="AJ13" i="24"/>
  <c r="AJ45" i="24" s="1"/>
  <c r="AK13" i="24"/>
  <c r="AK45" i="24" s="1"/>
  <c r="AL13" i="24"/>
  <c r="AL45" i="24" s="1"/>
  <c r="AM13" i="24"/>
  <c r="AM45" i="24" s="1"/>
  <c r="AN13" i="24"/>
  <c r="AN45" i="24" s="1"/>
  <c r="AO13" i="24"/>
  <c r="AO45" i="24" s="1"/>
  <c r="AP13" i="24"/>
  <c r="AP45" i="24" s="1"/>
  <c r="AQ13" i="24"/>
  <c r="AQ45" i="24" s="1"/>
  <c r="AR13" i="24"/>
  <c r="AR45" i="24" s="1"/>
  <c r="AS13" i="24"/>
  <c r="AS45" i="24" s="1"/>
  <c r="AT13" i="24"/>
  <c r="AT45" i="24" s="1"/>
  <c r="AU13" i="24"/>
  <c r="AU45" i="24" s="1"/>
  <c r="AV13" i="24"/>
  <c r="AV45" i="24" s="1"/>
  <c r="AW13" i="24"/>
  <c r="AW45" i="24" s="1"/>
  <c r="AX13" i="24"/>
  <c r="AX45" i="24" s="1"/>
  <c r="AY13" i="24"/>
  <c r="AY45" i="24" s="1"/>
  <c r="AZ13" i="24"/>
  <c r="AZ45" i="24" s="1"/>
  <c r="BA13" i="24"/>
  <c r="BA45" i="24" s="1"/>
  <c r="BB13" i="24"/>
  <c r="BB45" i="24" s="1"/>
  <c r="BC13" i="24"/>
  <c r="BC45" i="24" s="1"/>
  <c r="BD13" i="24"/>
  <c r="BD45" i="24" s="1"/>
  <c r="BE13" i="24"/>
  <c r="BE45" i="24" s="1"/>
  <c r="BF13" i="24"/>
  <c r="BF45" i="24" s="1"/>
  <c r="BG13" i="24"/>
  <c r="BG45" i="24" s="1"/>
  <c r="BH13" i="24"/>
  <c r="BH45" i="24" s="1"/>
  <c r="BI13" i="24"/>
  <c r="BI45" i="24" s="1"/>
  <c r="BJ13" i="24"/>
  <c r="BJ45" i="24" s="1"/>
  <c r="BK13" i="24"/>
  <c r="BK45" i="24" s="1"/>
  <c r="BL13" i="24"/>
  <c r="BL45" i="24" s="1"/>
  <c r="BM13" i="24"/>
  <c r="BM45" i="24" s="1"/>
  <c r="BN13" i="24"/>
  <c r="BN45" i="24" s="1"/>
  <c r="BO13" i="24"/>
  <c r="BO45" i="24" s="1"/>
  <c r="BP13" i="24"/>
  <c r="BP45" i="24" s="1"/>
  <c r="BQ13" i="24"/>
  <c r="BQ45" i="24" s="1"/>
  <c r="BR13" i="24"/>
  <c r="BR45" i="24" s="1"/>
  <c r="BS13" i="24"/>
  <c r="BS45" i="24" s="1"/>
  <c r="BT13" i="24"/>
  <c r="BT45" i="24" s="1"/>
  <c r="BU13" i="24"/>
  <c r="BU45" i="24" s="1"/>
  <c r="BV13" i="24"/>
  <c r="BV45" i="24" s="1"/>
  <c r="BW13" i="24"/>
  <c r="BW45" i="24" s="1"/>
  <c r="BX13" i="24"/>
  <c r="BX45" i="24" s="1"/>
  <c r="BY13" i="24"/>
  <c r="BY45" i="24" s="1"/>
  <c r="G12" i="24"/>
  <c r="H12" i="24"/>
  <c r="I12" i="24"/>
  <c r="J12" i="24"/>
  <c r="K12" i="24"/>
  <c r="L12" i="24"/>
  <c r="M12" i="24"/>
  <c r="M44" i="24" s="1"/>
  <c r="N12" i="24"/>
  <c r="O12" i="24"/>
  <c r="O44" i="24" s="1"/>
  <c r="P12" i="24"/>
  <c r="Q12" i="24"/>
  <c r="R12" i="24"/>
  <c r="S12" i="24"/>
  <c r="T12" i="24"/>
  <c r="U12" i="24"/>
  <c r="V12" i="24"/>
  <c r="W12" i="24"/>
  <c r="X12" i="24"/>
  <c r="Y12" i="24"/>
  <c r="Y44" i="24" s="1"/>
  <c r="Z12" i="24"/>
  <c r="AA12" i="24"/>
  <c r="AA44" i="24" s="1"/>
  <c r="AB12" i="24"/>
  <c r="AC12" i="24"/>
  <c r="AD12" i="24"/>
  <c r="AE12" i="24"/>
  <c r="AF12" i="24"/>
  <c r="AG12" i="24"/>
  <c r="AH12" i="24"/>
  <c r="AI12" i="24"/>
  <c r="AJ12" i="24"/>
  <c r="AK12" i="24"/>
  <c r="AK44" i="24" s="1"/>
  <c r="AL12" i="24"/>
  <c r="AM12" i="24"/>
  <c r="AM44" i="24" s="1"/>
  <c r="AN12" i="24"/>
  <c r="AO12" i="24"/>
  <c r="AP12" i="24"/>
  <c r="AQ12" i="24"/>
  <c r="AR12" i="24"/>
  <c r="AS12" i="24"/>
  <c r="AT12" i="24"/>
  <c r="AU12" i="24"/>
  <c r="AV12" i="24"/>
  <c r="AW12" i="24"/>
  <c r="AW44" i="24" s="1"/>
  <c r="AX12" i="24"/>
  <c r="AY12" i="24"/>
  <c r="AY44" i="24" s="1"/>
  <c r="AZ12" i="24"/>
  <c r="BA12" i="24"/>
  <c r="BB12" i="24"/>
  <c r="BC12" i="24"/>
  <c r="BD12" i="24"/>
  <c r="BE12" i="24"/>
  <c r="BF12" i="24"/>
  <c r="BG12" i="24"/>
  <c r="BH12" i="24"/>
  <c r="BI12" i="24"/>
  <c r="BI44" i="24" s="1"/>
  <c r="BJ12" i="24"/>
  <c r="BK12" i="24"/>
  <c r="BK44" i="24" s="1"/>
  <c r="BL12" i="24"/>
  <c r="BM12" i="24"/>
  <c r="BN12" i="24"/>
  <c r="BO12" i="24"/>
  <c r="BO44" i="24" s="1"/>
  <c r="BP12" i="24"/>
  <c r="BQ12" i="24"/>
  <c r="BR12" i="24"/>
  <c r="BS12" i="24"/>
  <c r="BT12" i="24"/>
  <c r="BU12" i="24"/>
  <c r="BU44" i="24" s="1"/>
  <c r="BV12" i="24"/>
  <c r="BW12" i="24"/>
  <c r="BW44" i="24" s="1"/>
  <c r="BX12" i="24"/>
  <c r="BY12" i="24"/>
  <c r="G11" i="24"/>
  <c r="H11" i="24"/>
  <c r="H43" i="24" s="1"/>
  <c r="I11" i="24"/>
  <c r="J11" i="24"/>
  <c r="K11" i="24"/>
  <c r="L11" i="24"/>
  <c r="M11" i="24"/>
  <c r="N11" i="24"/>
  <c r="O11" i="24"/>
  <c r="P11" i="24"/>
  <c r="Q11" i="24"/>
  <c r="R11" i="24"/>
  <c r="R43" i="24" s="1"/>
  <c r="S11" i="24"/>
  <c r="T11" i="24"/>
  <c r="T43" i="24" s="1"/>
  <c r="U11" i="24"/>
  <c r="V11" i="24"/>
  <c r="W11" i="24"/>
  <c r="X11" i="24"/>
  <c r="Y11" i="24"/>
  <c r="Z11" i="24"/>
  <c r="AA11" i="24"/>
  <c r="AB11" i="24"/>
  <c r="AC11" i="24"/>
  <c r="AD11" i="24"/>
  <c r="AD43" i="24" s="1"/>
  <c r="AE11" i="24"/>
  <c r="AF11" i="24"/>
  <c r="AF43" i="24" s="1"/>
  <c r="AG11" i="24"/>
  <c r="AH11" i="24"/>
  <c r="AI11" i="24"/>
  <c r="AJ11" i="24"/>
  <c r="AK11" i="24"/>
  <c r="AL11" i="24"/>
  <c r="AM11" i="24"/>
  <c r="AN11" i="24"/>
  <c r="AO11" i="24"/>
  <c r="AP11" i="24"/>
  <c r="AP43" i="24" s="1"/>
  <c r="AQ11" i="24"/>
  <c r="AR11" i="24"/>
  <c r="AR43" i="24" s="1"/>
  <c r="AS11" i="24"/>
  <c r="AT11" i="24"/>
  <c r="AU11" i="24"/>
  <c r="AV11" i="24"/>
  <c r="AW11" i="24"/>
  <c r="AX11" i="24"/>
  <c r="AY11" i="24"/>
  <c r="AZ11" i="24"/>
  <c r="BA11" i="24"/>
  <c r="BB11" i="24"/>
  <c r="BB43" i="24" s="1"/>
  <c r="BC11" i="24"/>
  <c r="BD11" i="24"/>
  <c r="BD43" i="24" s="1"/>
  <c r="BE11" i="24"/>
  <c r="BF11" i="24"/>
  <c r="BG11" i="24"/>
  <c r="BH11" i="24"/>
  <c r="BI11" i="24"/>
  <c r="BJ11" i="24"/>
  <c r="BK11" i="24"/>
  <c r="BL11" i="24"/>
  <c r="BM11" i="24"/>
  <c r="BN11" i="24"/>
  <c r="BN43" i="24" s="1"/>
  <c r="BO11" i="24"/>
  <c r="BP11" i="24"/>
  <c r="BP43" i="24" s="1"/>
  <c r="BQ11" i="24"/>
  <c r="BR11" i="24"/>
  <c r="BS11" i="24"/>
  <c r="BT11" i="24"/>
  <c r="BU11" i="24"/>
  <c r="BV11" i="24"/>
  <c r="BW11" i="24"/>
  <c r="BX11" i="24"/>
  <c r="BY11" i="24"/>
  <c r="G10" i="24"/>
  <c r="H10" i="24"/>
  <c r="I10" i="24"/>
  <c r="J10" i="24"/>
  <c r="K10" i="24"/>
  <c r="K42" i="24" s="1"/>
  <c r="L10" i="24"/>
  <c r="M10" i="24"/>
  <c r="M42" i="24" s="1"/>
  <c r="N10" i="24"/>
  <c r="O10" i="24"/>
  <c r="P10" i="24"/>
  <c r="Q10" i="24"/>
  <c r="R10" i="24"/>
  <c r="S10" i="24"/>
  <c r="T10" i="24"/>
  <c r="U10" i="24"/>
  <c r="V10" i="24"/>
  <c r="W10" i="24"/>
  <c r="W42" i="24" s="1"/>
  <c r="X10" i="24"/>
  <c r="Y10" i="24"/>
  <c r="Y42" i="24" s="1"/>
  <c r="Z10" i="24"/>
  <c r="AA10" i="24"/>
  <c r="AB10" i="24"/>
  <c r="AC10" i="24"/>
  <c r="AD10" i="24"/>
  <c r="AE10" i="24"/>
  <c r="AF10" i="24"/>
  <c r="AG10" i="24"/>
  <c r="AH10" i="24"/>
  <c r="AI10" i="24"/>
  <c r="AI42" i="24" s="1"/>
  <c r="AJ10" i="24"/>
  <c r="AK10" i="24"/>
  <c r="AK42" i="24" s="1"/>
  <c r="AL10" i="24"/>
  <c r="AM10" i="24"/>
  <c r="AN10" i="24"/>
  <c r="AO10" i="24"/>
  <c r="AP10" i="24"/>
  <c r="AQ10" i="24"/>
  <c r="AR10" i="24"/>
  <c r="AS10" i="24"/>
  <c r="AT10" i="24"/>
  <c r="AU10" i="24"/>
  <c r="AU42" i="24" s="1"/>
  <c r="AV10" i="24"/>
  <c r="AW10" i="24"/>
  <c r="AW42" i="24" s="1"/>
  <c r="AX10" i="24"/>
  <c r="AY10" i="24"/>
  <c r="AZ10" i="24"/>
  <c r="BA10" i="24"/>
  <c r="BB10" i="24"/>
  <c r="BC10" i="24"/>
  <c r="BD10" i="24"/>
  <c r="BE10" i="24"/>
  <c r="BF10" i="24"/>
  <c r="BG10" i="24"/>
  <c r="BG42" i="24" s="1"/>
  <c r="BH10" i="24"/>
  <c r="BI10" i="24"/>
  <c r="BI42" i="24" s="1"/>
  <c r="BJ10" i="24"/>
  <c r="BK10" i="24"/>
  <c r="BL10" i="24"/>
  <c r="BM10" i="24"/>
  <c r="BN10" i="24"/>
  <c r="BO10" i="24"/>
  <c r="BP10" i="24"/>
  <c r="BQ10" i="24"/>
  <c r="BR10" i="24"/>
  <c r="BS10" i="24"/>
  <c r="BS42" i="24" s="1"/>
  <c r="BT10" i="24"/>
  <c r="BU10" i="24"/>
  <c r="BU42" i="24" s="1"/>
  <c r="BV10" i="24"/>
  <c r="BW10" i="24"/>
  <c r="BX10" i="24"/>
  <c r="BY10" i="24"/>
  <c r="F10" i="24"/>
  <c r="F11" i="24"/>
  <c r="F43" i="24" s="1"/>
  <c r="F12" i="24"/>
  <c r="F13" i="24"/>
  <c r="F45" i="24" s="1"/>
  <c r="F14" i="24"/>
  <c r="F46" i="24" s="1"/>
  <c r="F15" i="24"/>
  <c r="F47" i="24" s="1"/>
  <c r="F16" i="24"/>
  <c r="F48" i="24" s="1"/>
  <c r="A4" i="24" a="1"/>
  <c r="B9" i="24" s="1"/>
  <c r="A5" i="23" a="1"/>
  <c r="A48" i="24"/>
  <c r="A47" i="24"/>
  <c r="A46" i="24"/>
  <c r="A45" i="24"/>
  <c r="A32" i="24"/>
  <c r="A31" i="24"/>
  <c r="A30" i="24"/>
  <c r="A29" i="24"/>
  <c r="BY48" i="24"/>
  <c r="C14" i="24"/>
  <c r="C13" i="24"/>
  <c r="D10" i="23"/>
  <c r="C10" i="23"/>
  <c r="I9" i="24" l="1"/>
  <c r="B5" i="24"/>
  <c r="C5" i="24" s="1"/>
  <c r="C37" i="24" s="1"/>
  <c r="B6" i="24"/>
  <c r="B7" i="24"/>
  <c r="C7" i="24" s="1"/>
  <c r="C39" i="24" s="1"/>
  <c r="B8" i="24"/>
  <c r="BY9" i="24"/>
  <c r="BY41" i="24" s="1"/>
  <c r="BO6" i="24"/>
  <c r="BO38" i="24" s="1"/>
  <c r="Z5" i="24"/>
  <c r="Z37" i="24" s="1"/>
  <c r="BH7" i="24"/>
  <c r="BH39" i="24" s="1"/>
  <c r="AP9" i="24"/>
  <c r="AP41" i="24" s="1"/>
  <c r="AD7" i="24"/>
  <c r="AD39" i="24" s="1"/>
  <c r="BO9" i="24"/>
  <c r="BO41" i="24" s="1"/>
  <c r="AE9" i="24"/>
  <c r="AE41" i="24" s="1"/>
  <c r="BI6" i="24"/>
  <c r="BI38" i="24" s="1"/>
  <c r="X7" i="24"/>
  <c r="X39" i="24" s="1"/>
  <c r="BN9" i="24"/>
  <c r="BN41" i="24" s="1"/>
  <c r="AD9" i="24"/>
  <c r="AD41" i="24" s="1"/>
  <c r="BN7" i="24"/>
  <c r="BN39" i="24" s="1"/>
  <c r="K8" i="24"/>
  <c r="K40" i="24" s="1"/>
  <c r="AN9" i="24"/>
  <c r="AN41" i="24" s="1"/>
  <c r="T7" i="24"/>
  <c r="T39" i="24" s="1"/>
  <c r="BM9" i="24"/>
  <c r="BM41" i="24" s="1"/>
  <c r="AC9" i="24"/>
  <c r="AC41" i="24" s="1"/>
  <c r="V5" i="24"/>
  <c r="V37" i="24" s="1"/>
  <c r="BD6" i="24"/>
  <c r="BD38" i="24" s="1"/>
  <c r="S7" i="24"/>
  <c r="S39" i="24" s="1"/>
  <c r="BL9" i="24"/>
  <c r="BL41" i="24" s="1"/>
  <c r="AB9" i="24"/>
  <c r="AB41" i="24" s="1"/>
  <c r="AO9" i="24"/>
  <c r="AO41" i="24" s="1"/>
  <c r="BE6" i="24"/>
  <c r="BE38" i="24" s="1"/>
  <c r="BP5" i="24"/>
  <c r="BP37" i="24" s="1"/>
  <c r="AE6" i="24"/>
  <c r="AE38" i="24" s="1"/>
  <c r="BM8" i="24"/>
  <c r="BM40" i="24" s="1"/>
  <c r="BC9" i="24"/>
  <c r="BC41" i="24" s="1"/>
  <c r="S9" i="24"/>
  <c r="S41" i="24" s="1"/>
  <c r="U5" i="24"/>
  <c r="U37" i="24" s="1"/>
  <c r="AF5" i="24"/>
  <c r="AF37" i="24" s="1"/>
  <c r="G9" i="24"/>
  <c r="G41" i="24" s="1"/>
  <c r="BD7" i="24"/>
  <c r="BD39" i="24" s="1"/>
  <c r="BC7" i="24"/>
  <c r="BC39" i="24" s="1"/>
  <c r="BX9" i="24"/>
  <c r="BX41" i="24" s="1"/>
  <c r="BJ5" i="24"/>
  <c r="BJ37" i="24" s="1"/>
  <c r="AQ9" i="24"/>
  <c r="AQ41" i="24" s="1"/>
  <c r="Y6" i="24"/>
  <c r="Y38" i="24" s="1"/>
  <c r="BG8" i="24"/>
  <c r="BG40" i="24" s="1"/>
  <c r="BB9" i="24"/>
  <c r="BB41" i="24" s="1"/>
  <c r="R9" i="24"/>
  <c r="R41" i="24" s="1"/>
  <c r="BF5" i="24"/>
  <c r="BF37" i="24" s="1"/>
  <c r="U6" i="24"/>
  <c r="U38" i="24" s="1"/>
  <c r="BB8" i="24"/>
  <c r="BB40" i="24" s="1"/>
  <c r="BA9" i="24"/>
  <c r="BA41" i="24" s="1"/>
  <c r="Q9" i="24"/>
  <c r="Q41" i="24" s="1"/>
  <c r="BE5" i="24"/>
  <c r="BE37" i="24" s="1"/>
  <c r="T6" i="24"/>
  <c r="T38" i="24" s="1"/>
  <c r="BA8" i="24"/>
  <c r="BA40" i="24" s="1"/>
  <c r="AZ9" i="24"/>
  <c r="AZ41" i="24" s="1"/>
  <c r="P9" i="24"/>
  <c r="P41" i="24" s="1"/>
  <c r="Q8" i="24"/>
  <c r="Q40" i="24" s="1"/>
  <c r="R7" i="24"/>
  <c r="R39" i="24" s="1"/>
  <c r="T5" i="24"/>
  <c r="T37" i="24" s="1"/>
  <c r="S6" i="24"/>
  <c r="S38" i="24" s="1"/>
  <c r="AU8" i="24"/>
  <c r="AU40" i="24" s="1"/>
  <c r="BK9" i="24"/>
  <c r="BK41" i="24" s="1"/>
  <c r="AM9" i="24"/>
  <c r="AM41" i="24" s="1"/>
  <c r="AA9" i="24"/>
  <c r="AA41" i="24" s="1"/>
  <c r="O9" i="24"/>
  <c r="O41" i="24" s="1"/>
  <c r="N5" i="24"/>
  <c r="N37" i="24" s="1"/>
  <c r="AV7" i="24"/>
  <c r="AV39" i="24" s="1"/>
  <c r="AP8" i="24"/>
  <c r="AP40" i="24" s="1"/>
  <c r="BV9" i="24"/>
  <c r="BV41" i="24" s="1"/>
  <c r="BJ9" i="24"/>
  <c r="BJ41" i="24" s="1"/>
  <c r="AX9" i="24"/>
  <c r="AX41" i="24" s="1"/>
  <c r="AL9" i="24"/>
  <c r="AL41" i="24" s="1"/>
  <c r="Z9" i="24"/>
  <c r="Z41" i="24" s="1"/>
  <c r="N9" i="24"/>
  <c r="N41" i="24" s="1"/>
  <c r="BD5" i="24"/>
  <c r="BD37" i="24" s="1"/>
  <c r="BC6" i="24"/>
  <c r="BC38" i="24" s="1"/>
  <c r="BB7" i="24"/>
  <c r="BB39" i="24" s="1"/>
  <c r="BW9" i="24"/>
  <c r="BW41" i="24" s="1"/>
  <c r="AY9" i="24"/>
  <c r="AY41" i="24" s="1"/>
  <c r="AX5" i="24"/>
  <c r="AX37" i="24" s="1"/>
  <c r="AW6" i="24"/>
  <c r="AW38" i="24" s="1"/>
  <c r="M6" i="24"/>
  <c r="M38" i="24" s="1"/>
  <c r="L7" i="24"/>
  <c r="L39" i="24" s="1"/>
  <c r="AT5" i="24"/>
  <c r="AT37" i="24" s="1"/>
  <c r="J5" i="24"/>
  <c r="J37" i="24" s="1"/>
  <c r="AS6" i="24"/>
  <c r="AS38" i="24" s="1"/>
  <c r="I6" i="24"/>
  <c r="I38" i="24" s="1"/>
  <c r="AR7" i="24"/>
  <c r="AR39" i="24" s="1"/>
  <c r="H7" i="24"/>
  <c r="H39" i="24" s="1"/>
  <c r="AO8" i="24"/>
  <c r="AO40" i="24" s="1"/>
  <c r="BU9" i="24"/>
  <c r="BU41" i="24" s="1"/>
  <c r="BI9" i="24"/>
  <c r="BI41" i="24" s="1"/>
  <c r="AW9" i="24"/>
  <c r="AW41" i="24" s="1"/>
  <c r="AK9" i="24"/>
  <c r="AK41" i="24" s="1"/>
  <c r="Y9" i="24"/>
  <c r="Y41" i="24" s="1"/>
  <c r="M9" i="24"/>
  <c r="M41" i="24" s="1"/>
  <c r="F9" i="24"/>
  <c r="F41" i="24" s="1"/>
  <c r="AS5" i="24"/>
  <c r="AS37" i="24" s="1"/>
  <c r="I5" i="24"/>
  <c r="I37" i="24" s="1"/>
  <c r="AR6" i="24"/>
  <c r="AR38" i="24" s="1"/>
  <c r="H6" i="24"/>
  <c r="H38" i="24" s="1"/>
  <c r="AQ7" i="24"/>
  <c r="AQ39" i="24" s="1"/>
  <c r="G7" i="24"/>
  <c r="G39" i="24" s="1"/>
  <c r="AI8" i="24"/>
  <c r="AI40" i="24" s="1"/>
  <c r="BT9" i="24"/>
  <c r="BT41" i="24" s="1"/>
  <c r="BH9" i="24"/>
  <c r="BH41" i="24" s="1"/>
  <c r="AV9" i="24"/>
  <c r="AV41" i="24" s="1"/>
  <c r="AJ9" i="24"/>
  <c r="AJ41" i="24" s="1"/>
  <c r="X9" i="24"/>
  <c r="X41" i="24" s="1"/>
  <c r="L9" i="24"/>
  <c r="L41" i="24" s="1"/>
  <c r="F8" i="24"/>
  <c r="AR5" i="24"/>
  <c r="AR37" i="24" s="1"/>
  <c r="H5" i="24"/>
  <c r="H37" i="24" s="1"/>
  <c r="G6" i="24"/>
  <c r="G38" i="24" s="1"/>
  <c r="AP7" i="24"/>
  <c r="AP39" i="24" s="1"/>
  <c r="BY8" i="24"/>
  <c r="BY40" i="24" s="1"/>
  <c r="AD8" i="24"/>
  <c r="AD40" i="24" s="1"/>
  <c r="BS9" i="24"/>
  <c r="BS41" i="24" s="1"/>
  <c r="BG9" i="24"/>
  <c r="BG41" i="24" s="1"/>
  <c r="AU9" i="24"/>
  <c r="AU41" i="24" s="1"/>
  <c r="AI9" i="24"/>
  <c r="AI41" i="24" s="1"/>
  <c r="W9" i="24"/>
  <c r="W41" i="24" s="1"/>
  <c r="K9" i="24"/>
  <c r="K41" i="24" s="1"/>
  <c r="AQ6" i="24"/>
  <c r="AQ38" i="24" s="1"/>
  <c r="BV5" i="24"/>
  <c r="BV37" i="24" s="1"/>
  <c r="AL5" i="24"/>
  <c r="AL37" i="24" s="1"/>
  <c r="BU6" i="24"/>
  <c r="BU38" i="24" s="1"/>
  <c r="AK6" i="24"/>
  <c r="AK38" i="24" s="1"/>
  <c r="BT7" i="24"/>
  <c r="BT39" i="24" s="1"/>
  <c r="AJ7" i="24"/>
  <c r="AJ39" i="24" s="1"/>
  <c r="BS8" i="24"/>
  <c r="BS40" i="24" s="1"/>
  <c r="AC8" i="24"/>
  <c r="AC40" i="24" s="1"/>
  <c r="BR9" i="24"/>
  <c r="BR41" i="24" s="1"/>
  <c r="BF9" i="24"/>
  <c r="BF41" i="24" s="1"/>
  <c r="AT9" i="24"/>
  <c r="AT41" i="24" s="1"/>
  <c r="AH9" i="24"/>
  <c r="AH41" i="24" s="1"/>
  <c r="V9" i="24"/>
  <c r="V41" i="24" s="1"/>
  <c r="J9" i="24"/>
  <c r="J41" i="24" s="1"/>
  <c r="BR5" i="24"/>
  <c r="BR37" i="24" s="1"/>
  <c r="AH5" i="24"/>
  <c r="AH37" i="24" s="1"/>
  <c r="BQ6" i="24"/>
  <c r="BQ38" i="24" s="1"/>
  <c r="AG6" i="24"/>
  <c r="AG38" i="24" s="1"/>
  <c r="BP7" i="24"/>
  <c r="BP39" i="24" s="1"/>
  <c r="AF7" i="24"/>
  <c r="AF39" i="24" s="1"/>
  <c r="BO8" i="24"/>
  <c r="BO40" i="24" s="1"/>
  <c r="W8" i="24"/>
  <c r="W40" i="24" s="1"/>
  <c r="BQ9" i="24"/>
  <c r="BQ41" i="24" s="1"/>
  <c r="BE9" i="24"/>
  <c r="BE41" i="24" s="1"/>
  <c r="AS9" i="24"/>
  <c r="AS41" i="24" s="1"/>
  <c r="AG9" i="24"/>
  <c r="AG41" i="24" s="1"/>
  <c r="U9" i="24"/>
  <c r="U41" i="24" s="1"/>
  <c r="E9" i="24"/>
  <c r="D9" i="24"/>
  <c r="D41" i="24" s="1"/>
  <c r="BQ5" i="24"/>
  <c r="BQ37" i="24" s="1"/>
  <c r="AG5" i="24"/>
  <c r="AG37" i="24" s="1"/>
  <c r="BP6" i="24"/>
  <c r="BP38" i="24" s="1"/>
  <c r="AF6" i="24"/>
  <c r="AF38" i="24" s="1"/>
  <c r="BO7" i="24"/>
  <c r="BO39" i="24" s="1"/>
  <c r="AE7" i="24"/>
  <c r="AE39" i="24" s="1"/>
  <c r="BN8" i="24"/>
  <c r="BN40" i="24" s="1"/>
  <c r="R8" i="24"/>
  <c r="R40" i="24" s="1"/>
  <c r="BP9" i="24"/>
  <c r="BP41" i="24" s="1"/>
  <c r="BD9" i="24"/>
  <c r="BD41" i="24" s="1"/>
  <c r="AR9" i="24"/>
  <c r="AR41" i="24" s="1"/>
  <c r="AF9" i="24"/>
  <c r="AF41" i="24" s="1"/>
  <c r="T9" i="24"/>
  <c r="T41" i="24" s="1"/>
  <c r="H9" i="24"/>
  <c r="H41" i="24" s="1"/>
  <c r="A5" i="23"/>
  <c r="B9" i="23"/>
  <c r="B8" i="23"/>
  <c r="B6" i="23"/>
  <c r="B7" i="23"/>
  <c r="A4" i="24"/>
  <c r="B4" i="24" s="1"/>
  <c r="D6" i="24"/>
  <c r="D7" i="24"/>
  <c r="D39" i="24" s="1"/>
  <c r="E5" i="24"/>
  <c r="D8" i="24"/>
  <c r="E6" i="24"/>
  <c r="E7" i="24"/>
  <c r="E8" i="24"/>
  <c r="D5" i="24"/>
  <c r="G8" i="24"/>
  <c r="G40" i="24" s="1"/>
  <c r="S8" i="24"/>
  <c r="S40" i="24" s="1"/>
  <c r="AE8" i="24"/>
  <c r="AE40" i="24" s="1"/>
  <c r="AQ8" i="24"/>
  <c r="AQ40" i="24" s="1"/>
  <c r="BC8" i="24"/>
  <c r="BC40" i="24" s="1"/>
  <c r="H8" i="24"/>
  <c r="H40" i="24" s="1"/>
  <c r="T8" i="24"/>
  <c r="T40" i="24" s="1"/>
  <c r="AF8" i="24"/>
  <c r="AF40" i="24" s="1"/>
  <c r="AR8" i="24"/>
  <c r="AR40" i="24" s="1"/>
  <c r="BD8" i="24"/>
  <c r="BD40" i="24" s="1"/>
  <c r="BP8" i="24"/>
  <c r="BP40" i="24" s="1"/>
  <c r="I7" i="24"/>
  <c r="I39" i="24" s="1"/>
  <c r="U7" i="24"/>
  <c r="U39" i="24" s="1"/>
  <c r="AG7" i="24"/>
  <c r="AG39" i="24" s="1"/>
  <c r="AS7" i="24"/>
  <c r="AS39" i="24" s="1"/>
  <c r="BE7" i="24"/>
  <c r="BE39" i="24" s="1"/>
  <c r="BQ7" i="24"/>
  <c r="BQ39" i="24" s="1"/>
  <c r="J6" i="24"/>
  <c r="J38" i="24" s="1"/>
  <c r="V6" i="24"/>
  <c r="V38" i="24" s="1"/>
  <c r="AH6" i="24"/>
  <c r="AH38" i="24" s="1"/>
  <c r="AT6" i="24"/>
  <c r="AT38" i="24" s="1"/>
  <c r="BF6" i="24"/>
  <c r="BF38" i="24" s="1"/>
  <c r="BR6" i="24"/>
  <c r="BR38" i="24" s="1"/>
  <c r="K5" i="24"/>
  <c r="K37" i="24" s="1"/>
  <c r="W5" i="24"/>
  <c r="W37" i="24" s="1"/>
  <c r="AI5" i="24"/>
  <c r="AI37" i="24" s="1"/>
  <c r="AU5" i="24"/>
  <c r="AU37" i="24" s="1"/>
  <c r="BG5" i="24"/>
  <c r="BG37" i="24" s="1"/>
  <c r="BS5" i="24"/>
  <c r="BS37" i="24" s="1"/>
  <c r="I8" i="24"/>
  <c r="I40" i="24" s="1"/>
  <c r="U8" i="24"/>
  <c r="U40" i="24" s="1"/>
  <c r="AG8" i="24"/>
  <c r="AG40" i="24" s="1"/>
  <c r="AS8" i="24"/>
  <c r="AS40" i="24" s="1"/>
  <c r="BE8" i="24"/>
  <c r="BE40" i="24" s="1"/>
  <c r="BQ8" i="24"/>
  <c r="BQ40" i="24" s="1"/>
  <c r="J7" i="24"/>
  <c r="J39" i="24" s="1"/>
  <c r="V7" i="24"/>
  <c r="V39" i="24" s="1"/>
  <c r="AH7" i="24"/>
  <c r="AH39" i="24" s="1"/>
  <c r="AT7" i="24"/>
  <c r="AT39" i="24" s="1"/>
  <c r="BF7" i="24"/>
  <c r="BF39" i="24" s="1"/>
  <c r="BR7" i="24"/>
  <c r="BR39" i="24" s="1"/>
  <c r="K6" i="24"/>
  <c r="K38" i="24" s="1"/>
  <c r="W6" i="24"/>
  <c r="W38" i="24" s="1"/>
  <c r="AI6" i="24"/>
  <c r="AI38" i="24" s="1"/>
  <c r="AU6" i="24"/>
  <c r="AU38" i="24" s="1"/>
  <c r="BG6" i="24"/>
  <c r="BG38" i="24" s="1"/>
  <c r="BS6" i="24"/>
  <c r="BS38" i="24" s="1"/>
  <c r="L5" i="24"/>
  <c r="L37" i="24" s="1"/>
  <c r="X5" i="24"/>
  <c r="X37" i="24" s="1"/>
  <c r="AJ5" i="24"/>
  <c r="AJ37" i="24" s="1"/>
  <c r="AV5" i="24"/>
  <c r="AV37" i="24" s="1"/>
  <c r="BH5" i="24"/>
  <c r="BH37" i="24" s="1"/>
  <c r="BT5" i="24"/>
  <c r="BT37" i="24" s="1"/>
  <c r="J8" i="24"/>
  <c r="J40" i="24" s="1"/>
  <c r="V8" i="24"/>
  <c r="V40" i="24" s="1"/>
  <c r="AH8" i="24"/>
  <c r="AH40" i="24" s="1"/>
  <c r="AT8" i="24"/>
  <c r="AT40" i="24" s="1"/>
  <c r="BF8" i="24"/>
  <c r="BF40" i="24" s="1"/>
  <c r="BR8" i="24"/>
  <c r="BR40" i="24" s="1"/>
  <c r="K7" i="24"/>
  <c r="K39" i="24" s="1"/>
  <c r="W7" i="24"/>
  <c r="W39" i="24" s="1"/>
  <c r="AI7" i="24"/>
  <c r="AI39" i="24" s="1"/>
  <c r="AU7" i="24"/>
  <c r="AU39" i="24" s="1"/>
  <c r="BG7" i="24"/>
  <c r="BG39" i="24" s="1"/>
  <c r="BS7" i="24"/>
  <c r="BS39" i="24" s="1"/>
  <c r="L6" i="24"/>
  <c r="L38" i="24" s="1"/>
  <c r="X6" i="24"/>
  <c r="X38" i="24" s="1"/>
  <c r="AJ6" i="24"/>
  <c r="AJ38" i="24" s="1"/>
  <c r="AV6" i="24"/>
  <c r="AV38" i="24" s="1"/>
  <c r="BH6" i="24"/>
  <c r="BH38" i="24" s="1"/>
  <c r="BT6" i="24"/>
  <c r="BT38" i="24" s="1"/>
  <c r="M5" i="24"/>
  <c r="M37" i="24" s="1"/>
  <c r="Y5" i="24"/>
  <c r="Y37" i="24" s="1"/>
  <c r="AK5" i="24"/>
  <c r="AK37" i="24" s="1"/>
  <c r="AW5" i="24"/>
  <c r="AW37" i="24" s="1"/>
  <c r="BI5" i="24"/>
  <c r="BI37" i="24" s="1"/>
  <c r="BU5" i="24"/>
  <c r="BU37" i="24" s="1"/>
  <c r="L8" i="24"/>
  <c r="L40" i="24" s="1"/>
  <c r="X8" i="24"/>
  <c r="X40" i="24" s="1"/>
  <c r="AJ8" i="24"/>
  <c r="AJ40" i="24" s="1"/>
  <c r="AV8" i="24"/>
  <c r="AV40" i="24" s="1"/>
  <c r="BH8" i="24"/>
  <c r="BH40" i="24" s="1"/>
  <c r="BT8" i="24"/>
  <c r="BT40" i="24" s="1"/>
  <c r="M7" i="24"/>
  <c r="M39" i="24" s="1"/>
  <c r="Y7" i="24"/>
  <c r="Y39" i="24" s="1"/>
  <c r="AK7" i="24"/>
  <c r="AK39" i="24" s="1"/>
  <c r="AW7" i="24"/>
  <c r="AW39" i="24" s="1"/>
  <c r="BI7" i="24"/>
  <c r="BI39" i="24" s="1"/>
  <c r="BU7" i="24"/>
  <c r="BU39" i="24" s="1"/>
  <c r="N6" i="24"/>
  <c r="N38" i="24" s="1"/>
  <c r="Z6" i="24"/>
  <c r="Z38" i="24" s="1"/>
  <c r="AL6" i="24"/>
  <c r="AL38" i="24" s="1"/>
  <c r="AX6" i="24"/>
  <c r="AX38" i="24" s="1"/>
  <c r="BJ6" i="24"/>
  <c r="BJ38" i="24" s="1"/>
  <c r="BV6" i="24"/>
  <c r="BV38" i="24" s="1"/>
  <c r="O5" i="24"/>
  <c r="O37" i="24" s="1"/>
  <c r="AA5" i="24"/>
  <c r="AA37" i="24" s="1"/>
  <c r="AM5" i="24"/>
  <c r="AM37" i="24" s="1"/>
  <c r="AY5" i="24"/>
  <c r="AY37" i="24" s="1"/>
  <c r="BK5" i="24"/>
  <c r="BK37" i="24" s="1"/>
  <c r="BW5" i="24"/>
  <c r="BW37" i="24" s="1"/>
  <c r="M8" i="24"/>
  <c r="M40" i="24" s="1"/>
  <c r="Y8" i="24"/>
  <c r="Y40" i="24" s="1"/>
  <c r="AK8" i="24"/>
  <c r="AK40" i="24" s="1"/>
  <c r="AW8" i="24"/>
  <c r="AW40" i="24" s="1"/>
  <c r="BI8" i="24"/>
  <c r="BI40" i="24" s="1"/>
  <c r="BU8" i="24"/>
  <c r="BU40" i="24" s="1"/>
  <c r="N7" i="24"/>
  <c r="N39" i="24" s="1"/>
  <c r="Z7" i="24"/>
  <c r="Z39" i="24" s="1"/>
  <c r="AL7" i="24"/>
  <c r="AL39" i="24" s="1"/>
  <c r="AX7" i="24"/>
  <c r="AX39" i="24" s="1"/>
  <c r="BJ7" i="24"/>
  <c r="BJ39" i="24" s="1"/>
  <c r="BV7" i="24"/>
  <c r="BV39" i="24" s="1"/>
  <c r="O6" i="24"/>
  <c r="O38" i="24" s="1"/>
  <c r="AA6" i="24"/>
  <c r="AA38" i="24" s="1"/>
  <c r="AM6" i="24"/>
  <c r="AM38" i="24" s="1"/>
  <c r="AY6" i="24"/>
  <c r="AY38" i="24" s="1"/>
  <c r="BK6" i="24"/>
  <c r="BK38" i="24" s="1"/>
  <c r="BW6" i="24"/>
  <c r="BW38" i="24" s="1"/>
  <c r="P5" i="24"/>
  <c r="P37" i="24" s="1"/>
  <c r="AB5" i="24"/>
  <c r="AB37" i="24" s="1"/>
  <c r="AN5" i="24"/>
  <c r="AN37" i="24" s="1"/>
  <c r="AZ5" i="24"/>
  <c r="AZ37" i="24" s="1"/>
  <c r="BL5" i="24"/>
  <c r="BL37" i="24" s="1"/>
  <c r="BX5" i="24"/>
  <c r="BX37" i="24" s="1"/>
  <c r="N8" i="24"/>
  <c r="N40" i="24" s="1"/>
  <c r="Z8" i="24"/>
  <c r="Z40" i="24" s="1"/>
  <c r="AL8" i="24"/>
  <c r="AL40" i="24" s="1"/>
  <c r="AX8" i="24"/>
  <c r="AX40" i="24" s="1"/>
  <c r="BJ8" i="24"/>
  <c r="BJ40" i="24" s="1"/>
  <c r="BV8" i="24"/>
  <c r="BV40" i="24" s="1"/>
  <c r="O7" i="24"/>
  <c r="O39" i="24" s="1"/>
  <c r="AA7" i="24"/>
  <c r="AA39" i="24" s="1"/>
  <c r="AM7" i="24"/>
  <c r="AM39" i="24" s="1"/>
  <c r="AY7" i="24"/>
  <c r="AY39" i="24" s="1"/>
  <c r="BK7" i="24"/>
  <c r="BK39" i="24" s="1"/>
  <c r="BW7" i="24"/>
  <c r="BW39" i="24" s="1"/>
  <c r="P6" i="24"/>
  <c r="P38" i="24" s="1"/>
  <c r="AB6" i="24"/>
  <c r="AB38" i="24" s="1"/>
  <c r="AN6" i="24"/>
  <c r="AN38" i="24" s="1"/>
  <c r="AZ6" i="24"/>
  <c r="AZ38" i="24" s="1"/>
  <c r="BL6" i="24"/>
  <c r="BL38" i="24" s="1"/>
  <c r="BX6" i="24"/>
  <c r="BX38" i="24" s="1"/>
  <c r="Q5" i="24"/>
  <c r="Q37" i="24" s="1"/>
  <c r="AC5" i="24"/>
  <c r="AC37" i="24" s="1"/>
  <c r="AO5" i="24"/>
  <c r="AO37" i="24" s="1"/>
  <c r="BA5" i="24"/>
  <c r="BA37" i="24" s="1"/>
  <c r="BM5" i="24"/>
  <c r="BM37" i="24" s="1"/>
  <c r="BY5" i="24"/>
  <c r="BY37" i="24" s="1"/>
  <c r="F5" i="24"/>
  <c r="O8" i="24"/>
  <c r="O40" i="24" s="1"/>
  <c r="AA8" i="24"/>
  <c r="AA40" i="24" s="1"/>
  <c r="AM8" i="24"/>
  <c r="AM40" i="24" s="1"/>
  <c r="AY8" i="24"/>
  <c r="AY40" i="24" s="1"/>
  <c r="BK8" i="24"/>
  <c r="BK40" i="24" s="1"/>
  <c r="BW8" i="24"/>
  <c r="BW40" i="24" s="1"/>
  <c r="P7" i="24"/>
  <c r="P39" i="24" s="1"/>
  <c r="AB7" i="24"/>
  <c r="AB39" i="24" s="1"/>
  <c r="AN7" i="24"/>
  <c r="AN39" i="24" s="1"/>
  <c r="AZ7" i="24"/>
  <c r="AZ39" i="24" s="1"/>
  <c r="BL7" i="24"/>
  <c r="BL39" i="24" s="1"/>
  <c r="BX7" i="24"/>
  <c r="BX39" i="24" s="1"/>
  <c r="Q6" i="24"/>
  <c r="Q38" i="24" s="1"/>
  <c r="AC6" i="24"/>
  <c r="AC38" i="24" s="1"/>
  <c r="AO6" i="24"/>
  <c r="AO38" i="24" s="1"/>
  <c r="BA6" i="24"/>
  <c r="BA38" i="24" s="1"/>
  <c r="BM6" i="24"/>
  <c r="BM38" i="24" s="1"/>
  <c r="BY6" i="24"/>
  <c r="BY38" i="24" s="1"/>
  <c r="R5" i="24"/>
  <c r="R37" i="24" s="1"/>
  <c r="AD5" i="24"/>
  <c r="AD37" i="24" s="1"/>
  <c r="AP5" i="24"/>
  <c r="AP37" i="24" s="1"/>
  <c r="BB5" i="24"/>
  <c r="BB37" i="24" s="1"/>
  <c r="BN5" i="24"/>
  <c r="BN37" i="24" s="1"/>
  <c r="F6" i="24"/>
  <c r="F7" i="24"/>
  <c r="BO5" i="24"/>
  <c r="BO37" i="24" s="1"/>
  <c r="BC5" i="24"/>
  <c r="BC37" i="24" s="1"/>
  <c r="AQ5" i="24"/>
  <c r="AQ37" i="24" s="1"/>
  <c r="AE5" i="24"/>
  <c r="AE37" i="24" s="1"/>
  <c r="S5" i="24"/>
  <c r="S37" i="24" s="1"/>
  <c r="G5" i="24"/>
  <c r="G37" i="24" s="1"/>
  <c r="BN6" i="24"/>
  <c r="BN38" i="24" s="1"/>
  <c r="BB6" i="24"/>
  <c r="BB38" i="24" s="1"/>
  <c r="AP6" i="24"/>
  <c r="AP38" i="24" s="1"/>
  <c r="AD6" i="24"/>
  <c r="AD38" i="24" s="1"/>
  <c r="R6" i="24"/>
  <c r="R38" i="24" s="1"/>
  <c r="BY7" i="24"/>
  <c r="BY39" i="24" s="1"/>
  <c r="BM7" i="24"/>
  <c r="BM39" i="24" s="1"/>
  <c r="BA7" i="24"/>
  <c r="BA39" i="24" s="1"/>
  <c r="AO7" i="24"/>
  <c r="AO39" i="24" s="1"/>
  <c r="AC7" i="24"/>
  <c r="AC39" i="24" s="1"/>
  <c r="Q7" i="24"/>
  <c r="Q39" i="24" s="1"/>
  <c r="BX8" i="24"/>
  <c r="BX40" i="24" s="1"/>
  <c r="BL8" i="24"/>
  <c r="BL40" i="24" s="1"/>
  <c r="AZ8" i="24"/>
  <c r="AZ40" i="24" s="1"/>
  <c r="AN8" i="24"/>
  <c r="AN40" i="24" s="1"/>
  <c r="AB8" i="24"/>
  <c r="AB40" i="24" s="1"/>
  <c r="P8" i="24"/>
  <c r="P40" i="24" s="1"/>
  <c r="C46" i="24"/>
  <c r="C30" i="24"/>
  <c r="E48" i="24"/>
  <c r="E32" i="24"/>
  <c r="L42" i="24"/>
  <c r="X42" i="24"/>
  <c r="AJ42" i="24"/>
  <c r="AV42" i="24"/>
  <c r="BH42" i="24"/>
  <c r="BT42" i="24"/>
  <c r="G43" i="24"/>
  <c r="S43" i="24"/>
  <c r="AE43" i="24"/>
  <c r="AQ43" i="24"/>
  <c r="BC43" i="24"/>
  <c r="BO43" i="24"/>
  <c r="N44" i="24"/>
  <c r="Z44" i="24"/>
  <c r="AL44" i="24"/>
  <c r="AX44" i="24"/>
  <c r="BJ44" i="24"/>
  <c r="BV44" i="24"/>
  <c r="D46" i="24"/>
  <c r="D30" i="24"/>
  <c r="BZ48" i="24"/>
  <c r="BZ16" i="24"/>
  <c r="N42" i="24"/>
  <c r="Z42" i="24"/>
  <c r="AL42" i="24"/>
  <c r="AX42" i="24"/>
  <c r="BJ42" i="24"/>
  <c r="BV42" i="24"/>
  <c r="I43" i="24"/>
  <c r="U43" i="24"/>
  <c r="AG43" i="24"/>
  <c r="AS43" i="24"/>
  <c r="BE43" i="24"/>
  <c r="BQ43" i="24"/>
  <c r="P44" i="24"/>
  <c r="AB44" i="24"/>
  <c r="AN44" i="24"/>
  <c r="AZ44" i="24"/>
  <c r="BL44" i="24"/>
  <c r="BX44" i="24"/>
  <c r="BZ46" i="24"/>
  <c r="BZ14" i="24"/>
  <c r="A25" i="24"/>
  <c r="O42" i="24"/>
  <c r="AA42" i="24"/>
  <c r="AM42" i="24"/>
  <c r="AY42" i="24"/>
  <c r="BK42" i="24"/>
  <c r="BW42" i="24"/>
  <c r="J43" i="24"/>
  <c r="V43" i="24"/>
  <c r="AH43" i="24"/>
  <c r="AT43" i="24"/>
  <c r="BF43" i="24"/>
  <c r="BR43" i="24"/>
  <c r="Q44" i="24"/>
  <c r="AC44" i="24"/>
  <c r="AO44" i="24"/>
  <c r="BA44" i="24"/>
  <c r="BM44" i="24"/>
  <c r="BY44" i="24"/>
  <c r="B47" i="24"/>
  <c r="B31" i="24"/>
  <c r="E46" i="24"/>
  <c r="E30" i="24"/>
  <c r="I41" i="24"/>
  <c r="P42" i="24"/>
  <c r="AB42" i="24"/>
  <c r="AN42" i="24"/>
  <c r="AZ42" i="24"/>
  <c r="BL42" i="24"/>
  <c r="BX42" i="24"/>
  <c r="K43" i="24"/>
  <c r="W43" i="24"/>
  <c r="AI43" i="24"/>
  <c r="AU43" i="24"/>
  <c r="BG43" i="24"/>
  <c r="BS43" i="24"/>
  <c r="R44" i="24"/>
  <c r="AD44" i="24"/>
  <c r="AP44" i="24"/>
  <c r="BB44" i="24"/>
  <c r="BN44" i="24"/>
  <c r="C15" i="24"/>
  <c r="Q42" i="24"/>
  <c r="AC42" i="24"/>
  <c r="AO42" i="24"/>
  <c r="BA42" i="24"/>
  <c r="BM42" i="24"/>
  <c r="BY42" i="24"/>
  <c r="L43" i="24"/>
  <c r="X43" i="24"/>
  <c r="AJ43" i="24"/>
  <c r="AV43" i="24"/>
  <c r="BH43" i="24"/>
  <c r="BT43" i="24"/>
  <c r="G44" i="24"/>
  <c r="S44" i="24"/>
  <c r="AE44" i="24"/>
  <c r="AQ44" i="24"/>
  <c r="BC44" i="24"/>
  <c r="B45" i="24"/>
  <c r="B29" i="24"/>
  <c r="D47" i="24"/>
  <c r="D31" i="24"/>
  <c r="A43" i="24"/>
  <c r="A41" i="24"/>
  <c r="A39" i="24"/>
  <c r="A44" i="24"/>
  <c r="A42" i="24"/>
  <c r="A40" i="24"/>
  <c r="A38" i="24"/>
  <c r="A37" i="24"/>
  <c r="A28" i="24"/>
  <c r="A24" i="24"/>
  <c r="A22" i="24"/>
  <c r="BW22" i="24" s="1" a="1"/>
  <c r="BW22" i="24" s="1"/>
  <c r="A26" i="24"/>
  <c r="A27" i="24"/>
  <c r="A23" i="24"/>
  <c r="A21" i="24"/>
  <c r="R42" i="24"/>
  <c r="AD42" i="24"/>
  <c r="AP42" i="24"/>
  <c r="BB42" i="24"/>
  <c r="BN42" i="24"/>
  <c r="M43" i="24"/>
  <c r="Y43" i="24"/>
  <c r="AK43" i="24"/>
  <c r="AW43" i="24"/>
  <c r="BI43" i="24"/>
  <c r="BU43" i="24"/>
  <c r="H44" i="24"/>
  <c r="T44" i="24"/>
  <c r="AF44" i="24"/>
  <c r="AR44" i="24"/>
  <c r="BD44" i="24"/>
  <c r="BP44" i="24"/>
  <c r="C45" i="24"/>
  <c r="C29" i="24"/>
  <c r="E47" i="24"/>
  <c r="E31" i="24"/>
  <c r="G42" i="24"/>
  <c r="S42" i="24"/>
  <c r="AE42" i="24"/>
  <c r="AQ42" i="24"/>
  <c r="BC42" i="24"/>
  <c r="BO42" i="24"/>
  <c r="N43" i="24"/>
  <c r="Z43" i="24"/>
  <c r="AL43" i="24"/>
  <c r="AX43" i="24"/>
  <c r="BJ43" i="24"/>
  <c r="BV43" i="24"/>
  <c r="I44" i="24"/>
  <c r="U44" i="24"/>
  <c r="AG44" i="24"/>
  <c r="AS44" i="24"/>
  <c r="BE44" i="24"/>
  <c r="BQ44" i="24"/>
  <c r="D45" i="24"/>
  <c r="D29" i="24"/>
  <c r="BZ47" i="24"/>
  <c r="BZ15" i="24"/>
  <c r="H42" i="24"/>
  <c r="T42" i="24"/>
  <c r="AF42" i="24"/>
  <c r="AR42" i="24"/>
  <c r="BD42" i="24"/>
  <c r="BP42" i="24"/>
  <c r="O43" i="24"/>
  <c r="AA43" i="24"/>
  <c r="AM43" i="24"/>
  <c r="AY43" i="24"/>
  <c r="BK43" i="24"/>
  <c r="BW43" i="24"/>
  <c r="J44" i="24"/>
  <c r="V44" i="24"/>
  <c r="AH44" i="24"/>
  <c r="AT44" i="24"/>
  <c r="BF44" i="24"/>
  <c r="BR44" i="24"/>
  <c r="E45" i="24"/>
  <c r="E29" i="24"/>
  <c r="B48" i="24"/>
  <c r="B32" i="24"/>
  <c r="I42" i="24"/>
  <c r="U42" i="24"/>
  <c r="AG42" i="24"/>
  <c r="AS42" i="24"/>
  <c r="BE42" i="24"/>
  <c r="BQ42" i="24"/>
  <c r="P43" i="24"/>
  <c r="AB43" i="24"/>
  <c r="AN43" i="24"/>
  <c r="AZ43" i="24"/>
  <c r="BL43" i="24"/>
  <c r="BX43" i="24"/>
  <c r="K44" i="24"/>
  <c r="W44" i="24"/>
  <c r="AI44" i="24"/>
  <c r="AU44" i="24"/>
  <c r="BG44" i="24"/>
  <c r="BS44" i="24"/>
  <c r="BZ45" i="24"/>
  <c r="BZ13" i="24"/>
  <c r="C16" i="24"/>
  <c r="J42" i="24"/>
  <c r="V42" i="24"/>
  <c r="AH42" i="24"/>
  <c r="AT42" i="24"/>
  <c r="BF42" i="24"/>
  <c r="BR42" i="24"/>
  <c r="Q43" i="24"/>
  <c r="AC43" i="24"/>
  <c r="AO43" i="24"/>
  <c r="BA43" i="24"/>
  <c r="BM43" i="24"/>
  <c r="BY43" i="24"/>
  <c r="L44" i="24"/>
  <c r="X44" i="24"/>
  <c r="AJ44" i="24"/>
  <c r="AV44" i="24"/>
  <c r="BH44" i="24"/>
  <c r="BT44" i="24"/>
  <c r="B46" i="24"/>
  <c r="B30" i="24"/>
  <c r="D48" i="24"/>
  <c r="D32" i="24"/>
  <c r="BZ30" i="24"/>
  <c r="BZ29" i="24"/>
  <c r="BZ31" i="24"/>
  <c r="BZ32" i="24"/>
  <c r="D25" i="24" l="1"/>
  <c r="B5" i="23"/>
  <c r="B23" i="24"/>
  <c r="B39" i="24"/>
  <c r="H25" i="24" a="1"/>
  <c r="H25" i="24" s="1"/>
  <c r="T25" i="24" a="1"/>
  <c r="T25" i="24" s="1"/>
  <c r="AF25" i="24" a="1"/>
  <c r="AF25" i="24" s="1"/>
  <c r="AR25" i="24" a="1"/>
  <c r="AR25" i="24" s="1"/>
  <c r="BD25" i="24" a="1"/>
  <c r="BD25" i="24" s="1"/>
  <c r="BO25" i="24" a="1"/>
  <c r="BO25" i="24" s="1"/>
  <c r="I25" i="24" a="1"/>
  <c r="I25" i="24" s="1"/>
  <c r="U25" i="24" a="1"/>
  <c r="U25" i="24" s="1"/>
  <c r="AG25" i="24" a="1"/>
  <c r="AG25" i="24" s="1"/>
  <c r="AS25" i="24" a="1"/>
  <c r="AS25" i="24" s="1"/>
  <c r="BE25" i="24" a="1"/>
  <c r="BE25" i="24" s="1"/>
  <c r="BP25" i="24" a="1"/>
  <c r="BP25" i="24" s="1"/>
  <c r="J25" i="24" a="1"/>
  <c r="J25" i="24" s="1"/>
  <c r="V25" i="24" a="1"/>
  <c r="V25" i="24" s="1"/>
  <c r="AH25" i="24" a="1"/>
  <c r="AH25" i="24" s="1"/>
  <c r="AT25" i="24" a="1"/>
  <c r="AT25" i="24" s="1"/>
  <c r="BF25" i="24" a="1"/>
  <c r="BF25" i="24" s="1"/>
  <c r="BQ25" i="24" a="1"/>
  <c r="BQ25" i="24" s="1"/>
  <c r="BM25" i="24" a="1"/>
  <c r="BM25" i="24" s="1"/>
  <c r="K25" i="24" a="1"/>
  <c r="K25" i="24" s="1"/>
  <c r="W25" i="24" a="1"/>
  <c r="W25" i="24" s="1"/>
  <c r="AI25" i="24" a="1"/>
  <c r="AI25" i="24" s="1"/>
  <c r="AU25" i="24" a="1"/>
  <c r="AU25" i="24" s="1"/>
  <c r="BG25" i="24" a="1"/>
  <c r="BG25" i="24" s="1"/>
  <c r="BR25" i="24" a="1"/>
  <c r="BR25" i="24" s="1"/>
  <c r="L25" i="24" a="1"/>
  <c r="L25" i="24" s="1"/>
  <c r="X25" i="24" a="1"/>
  <c r="X25" i="24" s="1"/>
  <c r="AV25" i="24" a="1"/>
  <c r="AV25" i="24" s="1"/>
  <c r="BH25" i="24" a="1"/>
  <c r="BH25" i="24" s="1"/>
  <c r="BS25" i="24" a="1"/>
  <c r="BS25" i="24" s="1"/>
  <c r="M25" i="24" a="1"/>
  <c r="M25" i="24" s="1"/>
  <c r="Y25" i="24" a="1"/>
  <c r="Y25" i="24" s="1"/>
  <c r="AK25" i="24" a="1"/>
  <c r="AK25" i="24" s="1"/>
  <c r="AW25" i="24" a="1"/>
  <c r="AW25" i="24" s="1"/>
  <c r="BT25" i="24" a="1"/>
  <c r="BT25" i="24" s="1"/>
  <c r="AP25" i="24" a="1"/>
  <c r="AP25" i="24" s="1"/>
  <c r="N25" i="24" a="1"/>
  <c r="N25" i="24" s="1"/>
  <c r="Z25" i="24" a="1"/>
  <c r="Z25" i="24" s="1"/>
  <c r="AL25" i="24" a="1"/>
  <c r="AL25" i="24" s="1"/>
  <c r="AX25" i="24" a="1"/>
  <c r="AX25" i="24" s="1"/>
  <c r="BI25" i="24" a="1"/>
  <c r="BI25" i="24" s="1"/>
  <c r="BU25" i="24" a="1"/>
  <c r="BU25" i="24" s="1"/>
  <c r="AD25" i="24" a="1"/>
  <c r="AD25" i="24" s="1"/>
  <c r="BB25" i="24" a="1"/>
  <c r="BB25" i="24" s="1"/>
  <c r="O25" i="24" a="1"/>
  <c r="O25" i="24" s="1"/>
  <c r="AA25" i="24" a="1"/>
  <c r="AA25" i="24" s="1"/>
  <c r="AM25" i="24" a="1"/>
  <c r="AM25" i="24" s="1"/>
  <c r="AY25" i="24" a="1"/>
  <c r="AY25" i="24" s="1"/>
  <c r="BJ25" i="24" a="1"/>
  <c r="BJ25" i="24" s="1"/>
  <c r="BV25" i="24" a="1"/>
  <c r="BV25" i="24" s="1"/>
  <c r="R25" i="24" a="1"/>
  <c r="R25" i="24" s="1"/>
  <c r="BY25" i="24" a="1"/>
  <c r="BY25" i="24" s="1"/>
  <c r="P25" i="24" a="1"/>
  <c r="P25" i="24" s="1"/>
  <c r="AB25" i="24" a="1"/>
  <c r="AB25" i="24" s="1"/>
  <c r="AN25" i="24" a="1"/>
  <c r="AN25" i="24" s="1"/>
  <c r="AZ25" i="24" a="1"/>
  <c r="AZ25" i="24" s="1"/>
  <c r="BK25" i="24" a="1"/>
  <c r="BK25" i="24" s="1"/>
  <c r="BW25" i="24" a="1"/>
  <c r="BW25" i="24" s="1"/>
  <c r="Q25" i="24" a="1"/>
  <c r="Q25" i="24" s="1"/>
  <c r="AC25" i="24" a="1"/>
  <c r="AC25" i="24" s="1"/>
  <c r="AO25" i="24" a="1"/>
  <c r="AO25" i="24" s="1"/>
  <c r="BA25" i="24" a="1"/>
  <c r="BA25" i="24" s="1"/>
  <c r="BL25" i="24" a="1"/>
  <c r="BL25" i="24" s="1"/>
  <c r="BX25" i="24" a="1"/>
  <c r="BX25" i="24" s="1"/>
  <c r="G25" i="24" a="1"/>
  <c r="G25" i="24" s="1"/>
  <c r="S25" i="24" a="1"/>
  <c r="S25" i="24" s="1"/>
  <c r="AE25" i="24" a="1"/>
  <c r="AE25" i="24" s="1"/>
  <c r="AQ25" i="24" a="1"/>
  <c r="AQ25" i="24" s="1"/>
  <c r="BC25" i="24" a="1"/>
  <c r="BC25" i="24" s="1"/>
  <c r="BN25" i="24" a="1"/>
  <c r="BN25" i="24" s="1"/>
  <c r="F25" i="24" a="1"/>
  <c r="F25" i="24" s="1"/>
  <c r="B21" i="24"/>
  <c r="C21" i="24"/>
  <c r="B37" i="24"/>
  <c r="D4" i="24"/>
  <c r="E4" i="24"/>
  <c r="L4" i="24"/>
  <c r="X4" i="24"/>
  <c r="AJ4" i="24"/>
  <c r="AV4" i="24"/>
  <c r="BH4" i="24"/>
  <c r="BT4" i="24"/>
  <c r="M4" i="24"/>
  <c r="Y4" i="24"/>
  <c r="AK4" i="24"/>
  <c r="AW4" i="24"/>
  <c r="BI4" i="24"/>
  <c r="BU4" i="24"/>
  <c r="N4" i="24"/>
  <c r="Z4" i="24"/>
  <c r="AL4" i="24"/>
  <c r="AX4" i="24"/>
  <c r="BJ4" i="24"/>
  <c r="BV4" i="24"/>
  <c r="P4" i="24"/>
  <c r="AB4" i="24"/>
  <c r="AN4" i="24"/>
  <c r="AZ4" i="24"/>
  <c r="BL4" i="24"/>
  <c r="BX4" i="24"/>
  <c r="Q4" i="24"/>
  <c r="AC4" i="24"/>
  <c r="AO4" i="24"/>
  <c r="BA4" i="24"/>
  <c r="BM4" i="24"/>
  <c r="BY4" i="24"/>
  <c r="R4" i="24"/>
  <c r="AD4" i="24"/>
  <c r="AP4" i="24"/>
  <c r="BB4" i="24"/>
  <c r="BN4" i="24"/>
  <c r="F4" i="24"/>
  <c r="G4" i="24"/>
  <c r="S4" i="24"/>
  <c r="AE4" i="24"/>
  <c r="AQ4" i="24"/>
  <c r="BC4" i="24"/>
  <c r="BO4" i="24"/>
  <c r="H4" i="24"/>
  <c r="T4" i="24"/>
  <c r="AF4" i="24"/>
  <c r="AR4" i="24"/>
  <c r="BD4" i="24"/>
  <c r="BP4" i="24"/>
  <c r="I4" i="24"/>
  <c r="AS4" i="24"/>
  <c r="K4" i="24"/>
  <c r="AU4" i="24"/>
  <c r="AA4" i="24"/>
  <c r="J4" i="24"/>
  <c r="AT4" i="24"/>
  <c r="V4" i="24"/>
  <c r="BK4" i="24"/>
  <c r="AM4" i="24"/>
  <c r="BF4" i="24"/>
  <c r="O4" i="24"/>
  <c r="AY4" i="24"/>
  <c r="U4" i="24"/>
  <c r="BE4" i="24"/>
  <c r="BG4" i="24"/>
  <c r="AH4" i="24"/>
  <c r="W4" i="24"/>
  <c r="AI4" i="24"/>
  <c r="BS4" i="24"/>
  <c r="BW4" i="24"/>
  <c r="AG4" i="24"/>
  <c r="BQ4" i="24"/>
  <c r="BR4" i="24"/>
  <c r="I23" i="24" a="1"/>
  <c r="I23" i="24" s="1"/>
  <c r="S23" i="24" a="1"/>
  <c r="S23" i="24" s="1"/>
  <c r="AD23" i="24" a="1"/>
  <c r="AD23" i="24" s="1"/>
  <c r="AN23" i="24" a="1"/>
  <c r="AN23" i="24" s="1"/>
  <c r="AX23" i="24" a="1"/>
  <c r="AX23" i="24" s="1"/>
  <c r="BS23" i="24" a="1"/>
  <c r="BS23" i="24" s="1"/>
  <c r="J23" i="24" a="1"/>
  <c r="J23" i="24" s="1"/>
  <c r="T23" i="24" a="1"/>
  <c r="T23" i="24" s="1"/>
  <c r="AO23" i="24" a="1"/>
  <c r="AO23" i="24" s="1"/>
  <c r="AY23" i="24" a="1"/>
  <c r="AY23" i="24" s="1"/>
  <c r="BI23" i="24" a="1"/>
  <c r="BI23" i="24" s="1"/>
  <c r="BT23" i="24" a="1"/>
  <c r="BT23" i="24" s="1"/>
  <c r="K23" i="24" a="1"/>
  <c r="K23" i="24" s="1"/>
  <c r="U23" i="24" a="1"/>
  <c r="U23" i="24" s="1"/>
  <c r="AE23" i="24" a="1"/>
  <c r="AE23" i="24" s="1"/>
  <c r="AP23" i="24" a="1"/>
  <c r="AP23" i="24" s="1"/>
  <c r="AZ23" i="24" a="1"/>
  <c r="AZ23" i="24" s="1"/>
  <c r="BJ23" i="24" a="1"/>
  <c r="BJ23" i="24" s="1"/>
  <c r="L23" i="24" a="1"/>
  <c r="L23" i="24" s="1"/>
  <c r="V23" i="24" a="1"/>
  <c r="V23" i="24" s="1"/>
  <c r="AF23" i="24" a="1"/>
  <c r="AF23" i="24" s="1"/>
  <c r="BA23" i="24" a="1"/>
  <c r="BA23" i="24" s="1"/>
  <c r="BK23" i="24" a="1"/>
  <c r="BK23" i="24" s="1"/>
  <c r="BU23" i="24" a="1"/>
  <c r="BU23" i="24" s="1"/>
  <c r="W23" i="24" a="1"/>
  <c r="W23" i="24" s="1"/>
  <c r="AG23" i="24" a="1"/>
  <c r="AG23" i="24" s="1"/>
  <c r="AQ23" i="24" a="1"/>
  <c r="AQ23" i="24" s="1"/>
  <c r="BB23" i="24" a="1"/>
  <c r="BB23" i="24" s="1"/>
  <c r="BL23" i="24" a="1"/>
  <c r="BL23" i="24" s="1"/>
  <c r="BV23" i="24" a="1"/>
  <c r="BV23" i="24" s="1"/>
  <c r="M23" i="24" a="1"/>
  <c r="M23" i="24" s="1"/>
  <c r="X23" i="24" a="1"/>
  <c r="X23" i="24" s="1"/>
  <c r="AH23" i="24" a="1"/>
  <c r="AH23" i="24" s="1"/>
  <c r="AR23" i="24" a="1"/>
  <c r="AR23" i="24" s="1"/>
  <c r="BM23" i="24" a="1"/>
  <c r="BM23" i="24" s="1"/>
  <c r="BW23" i="24" a="1"/>
  <c r="BW23" i="24" s="1"/>
  <c r="N23" i="24" a="1"/>
  <c r="N23" i="24" s="1"/>
  <c r="AI23" i="24" a="1"/>
  <c r="AI23" i="24" s="1"/>
  <c r="AS23" i="24" a="1"/>
  <c r="AS23" i="24" s="1"/>
  <c r="BC23" i="24" a="1"/>
  <c r="BC23" i="24" s="1"/>
  <c r="BN23" i="24" a="1"/>
  <c r="BN23" i="24" s="1"/>
  <c r="BX23" i="24" a="1"/>
  <c r="BX23" i="24" s="1"/>
  <c r="O23" i="24" a="1"/>
  <c r="O23" i="24" s="1"/>
  <c r="Y23" i="24" a="1"/>
  <c r="Y23" i="24" s="1"/>
  <c r="AT23" i="24" a="1"/>
  <c r="AT23" i="24" s="1"/>
  <c r="BD23" i="24" a="1"/>
  <c r="BD23" i="24" s="1"/>
  <c r="BY23" i="24" a="1"/>
  <c r="BY23" i="24" s="1"/>
  <c r="F23" i="24" a="1"/>
  <c r="F23" i="24" s="1"/>
  <c r="P23" i="24" a="1"/>
  <c r="P23" i="24" s="1"/>
  <c r="Z23" i="24" a="1"/>
  <c r="Z23" i="24" s="1"/>
  <c r="AU23" i="24" a="1"/>
  <c r="AU23" i="24" s="1"/>
  <c r="BE23" i="24" a="1"/>
  <c r="BE23" i="24" s="1"/>
  <c r="BO23" i="24" a="1"/>
  <c r="BO23" i="24" s="1"/>
  <c r="Q23" i="24" a="1"/>
  <c r="Q23" i="24" s="1"/>
  <c r="AA23" i="24" a="1"/>
  <c r="AA23" i="24" s="1"/>
  <c r="AK23" i="24" a="1"/>
  <c r="AK23" i="24" s="1"/>
  <c r="AV23" i="24" a="1"/>
  <c r="AV23" i="24" s="1"/>
  <c r="BF23" i="24" a="1"/>
  <c r="BF23" i="24" s="1"/>
  <c r="BP23" i="24" a="1"/>
  <c r="BP23" i="24" s="1"/>
  <c r="AL23" i="24" a="1"/>
  <c r="AL23" i="24" s="1"/>
  <c r="AW23" i="24" a="1"/>
  <c r="AW23" i="24" s="1"/>
  <c r="AM23" i="24" a="1"/>
  <c r="AM23" i="24" s="1"/>
  <c r="BG23" i="24" a="1"/>
  <c r="BG23" i="24" s="1"/>
  <c r="BH23" i="24" a="1"/>
  <c r="BH23" i="24" s="1"/>
  <c r="G23" i="24" a="1"/>
  <c r="G23" i="24" s="1"/>
  <c r="BQ23" i="24" a="1"/>
  <c r="BQ23" i="24" s="1"/>
  <c r="H23" i="24" a="1"/>
  <c r="H23" i="24" s="1"/>
  <c r="BR23" i="24" a="1"/>
  <c r="BR23" i="24" s="1"/>
  <c r="R23" i="24" a="1"/>
  <c r="R23" i="24" s="1"/>
  <c r="AB23" i="24" a="1"/>
  <c r="AB23" i="24" s="1"/>
  <c r="AC23" i="24" a="1"/>
  <c r="AC23" i="24" s="1"/>
  <c r="L21" i="24" a="1"/>
  <c r="L21" i="24" s="1"/>
  <c r="X21" i="24" a="1"/>
  <c r="X21" i="24" s="1"/>
  <c r="AJ21" i="24" a="1"/>
  <c r="AJ21" i="24" s="1"/>
  <c r="AV21" i="24" a="1"/>
  <c r="AV21" i="24" s="1"/>
  <c r="BH21" i="24" a="1"/>
  <c r="BH21" i="24" s="1"/>
  <c r="BT21" i="24" a="1"/>
  <c r="BT21" i="24" s="1"/>
  <c r="M21" i="24" a="1"/>
  <c r="M21" i="24" s="1"/>
  <c r="Y21" i="24" a="1"/>
  <c r="Y21" i="24" s="1"/>
  <c r="AW21" i="24" a="1"/>
  <c r="AW21" i="24" s="1"/>
  <c r="BI21" i="24" a="1"/>
  <c r="BI21" i="24" s="1"/>
  <c r="BU21" i="24" a="1"/>
  <c r="BU21" i="24" s="1"/>
  <c r="N21" i="24" a="1"/>
  <c r="N21" i="24" s="1"/>
  <c r="Z21" i="24" a="1"/>
  <c r="Z21" i="24" s="1"/>
  <c r="AX21" i="24" a="1"/>
  <c r="AX21" i="24" s="1"/>
  <c r="BJ21" i="24" a="1"/>
  <c r="BJ21" i="24" s="1"/>
  <c r="BV21" i="24" a="1"/>
  <c r="BV21" i="24" s="1"/>
  <c r="O21" i="24" a="1"/>
  <c r="O21" i="24" s="1"/>
  <c r="AA21" i="24" a="1"/>
  <c r="AA21" i="24" s="1"/>
  <c r="AM21" i="24" a="1"/>
  <c r="AM21" i="24" s="1"/>
  <c r="AY21" i="24" a="1"/>
  <c r="AY21" i="24" s="1"/>
  <c r="BK21" i="24" a="1"/>
  <c r="BK21" i="24" s="1"/>
  <c r="BW21" i="24" a="1"/>
  <c r="BW21" i="24" s="1"/>
  <c r="P21" i="24" a="1"/>
  <c r="P21" i="24" s="1"/>
  <c r="AB21" i="24" a="1"/>
  <c r="AB21" i="24" s="1"/>
  <c r="AN21" i="24" a="1"/>
  <c r="AN21" i="24" s="1"/>
  <c r="AZ21" i="24" a="1"/>
  <c r="AZ21" i="24" s="1"/>
  <c r="BL21" i="24" a="1"/>
  <c r="BL21" i="24" s="1"/>
  <c r="BX21" i="24" a="1"/>
  <c r="BX21" i="24" s="1"/>
  <c r="Q21" i="24" a="1"/>
  <c r="Q21" i="24" s="1"/>
  <c r="AC21" i="24" a="1"/>
  <c r="AC21" i="24" s="1"/>
  <c r="AO21" i="24" a="1"/>
  <c r="AO21" i="24" s="1"/>
  <c r="BA21" i="24" a="1"/>
  <c r="BA21" i="24" s="1"/>
  <c r="BM21" i="24" a="1"/>
  <c r="BM21" i="24" s="1"/>
  <c r="BY21" i="24" a="1"/>
  <c r="BY21" i="24" s="1"/>
  <c r="F21" i="24" a="1"/>
  <c r="F21" i="24" s="1"/>
  <c r="R21" i="24" a="1"/>
  <c r="R21" i="24" s="1"/>
  <c r="AD21" i="24" a="1"/>
  <c r="AD21" i="24" s="1"/>
  <c r="AP21" i="24" a="1"/>
  <c r="AP21" i="24" s="1"/>
  <c r="BB21" i="24" a="1"/>
  <c r="BB21" i="24" s="1"/>
  <c r="BN21" i="24" a="1"/>
  <c r="BN21" i="24" s="1"/>
  <c r="G21" i="24" a="1"/>
  <c r="G21" i="24" s="1"/>
  <c r="S21" i="24" a="1"/>
  <c r="S21" i="24" s="1"/>
  <c r="AE21" i="24" a="1"/>
  <c r="AE21" i="24" s="1"/>
  <c r="AQ21" i="24" a="1"/>
  <c r="AQ21" i="24" s="1"/>
  <c r="BC21" i="24" a="1"/>
  <c r="BC21" i="24" s="1"/>
  <c r="BO21" i="24" a="1"/>
  <c r="BO21" i="24" s="1"/>
  <c r="H21" i="24" a="1"/>
  <c r="H21" i="24" s="1"/>
  <c r="T21" i="24" a="1"/>
  <c r="T21" i="24" s="1"/>
  <c r="AF21" i="24" a="1"/>
  <c r="AF21" i="24" s="1"/>
  <c r="AR21" i="24" a="1"/>
  <c r="AR21" i="24" s="1"/>
  <c r="BD21" i="24" a="1"/>
  <c r="BD21" i="24" s="1"/>
  <c r="BP21" i="24" a="1"/>
  <c r="BP21" i="24" s="1"/>
  <c r="I21" i="24" a="1"/>
  <c r="I21" i="24" s="1"/>
  <c r="U21" i="24" a="1"/>
  <c r="U21" i="24" s="1"/>
  <c r="AG21" i="24" a="1"/>
  <c r="AG21" i="24" s="1"/>
  <c r="AS21" i="24" a="1"/>
  <c r="AS21" i="24" s="1"/>
  <c r="BE21" i="24" a="1"/>
  <c r="BE21" i="24" s="1"/>
  <c r="BQ21" i="24" a="1"/>
  <c r="BQ21" i="24" s="1"/>
  <c r="AT21" i="24" a="1"/>
  <c r="AT21" i="24" s="1"/>
  <c r="AU21" i="24" a="1"/>
  <c r="AU21" i="24" s="1"/>
  <c r="AI21" i="24" a="1"/>
  <c r="AI21" i="24" s="1"/>
  <c r="BF21" i="24" a="1"/>
  <c r="BF21" i="24" s="1"/>
  <c r="AH21" i="24" a="1"/>
  <c r="AH21" i="24" s="1"/>
  <c r="BG21" i="24" a="1"/>
  <c r="BG21" i="24" s="1"/>
  <c r="BR21" i="24" a="1"/>
  <c r="BR21" i="24" s="1"/>
  <c r="W21" i="24" a="1"/>
  <c r="W21" i="24" s="1"/>
  <c r="BS21" i="24" a="1"/>
  <c r="BS21" i="24" s="1"/>
  <c r="J21" i="24" a="1"/>
  <c r="J21" i="24" s="1"/>
  <c r="K21" i="24" a="1"/>
  <c r="K21" i="24" s="1"/>
  <c r="V21" i="24" a="1"/>
  <c r="V21" i="24" s="1"/>
  <c r="D23" i="24"/>
  <c r="C23" i="24"/>
  <c r="K22" i="24" a="1"/>
  <c r="K22" i="24" s="1"/>
  <c r="W22" i="24" a="1"/>
  <c r="W22" i="24" s="1"/>
  <c r="AI22" i="24" a="1"/>
  <c r="AI22" i="24" s="1"/>
  <c r="AU22" i="24" a="1"/>
  <c r="AU22" i="24" s="1"/>
  <c r="BG22" i="24" a="1"/>
  <c r="BG22" i="24" s="1"/>
  <c r="BS22" i="24" a="1"/>
  <c r="BS22" i="24" s="1"/>
  <c r="L22" i="24" a="1"/>
  <c r="L22" i="24" s="1"/>
  <c r="X22" i="24" a="1"/>
  <c r="X22" i="24" s="1"/>
  <c r="AV22" i="24" a="1"/>
  <c r="AV22" i="24" s="1"/>
  <c r="BH22" i="24" a="1"/>
  <c r="BH22" i="24" s="1"/>
  <c r="BT22" i="24" a="1"/>
  <c r="BT22" i="24" s="1"/>
  <c r="M22" i="24" a="1"/>
  <c r="M22" i="24" s="1"/>
  <c r="Y22" i="24" a="1"/>
  <c r="Y22" i="24" s="1"/>
  <c r="AW22" i="24" a="1"/>
  <c r="AW22" i="24" s="1"/>
  <c r="BI22" i="24" a="1"/>
  <c r="BI22" i="24" s="1"/>
  <c r="BU22" i="24" a="1"/>
  <c r="BU22" i="24" s="1"/>
  <c r="N22" i="24" a="1"/>
  <c r="N22" i="24" s="1"/>
  <c r="Z22" i="24" a="1"/>
  <c r="Z22" i="24" s="1"/>
  <c r="AX22" i="24" a="1"/>
  <c r="AX22" i="24" s="1"/>
  <c r="BJ22" i="24" a="1"/>
  <c r="BJ22" i="24" s="1"/>
  <c r="BV22" i="24" a="1"/>
  <c r="BV22" i="24" s="1"/>
  <c r="O22" i="24" a="1"/>
  <c r="O22" i="24" s="1"/>
  <c r="AA22" i="24" a="1"/>
  <c r="AA22" i="24" s="1"/>
  <c r="AM22" i="24" a="1"/>
  <c r="AM22" i="24" s="1"/>
  <c r="AY22" i="24" a="1"/>
  <c r="AY22" i="24" s="1"/>
  <c r="BK22" i="24" a="1"/>
  <c r="BK22" i="24" s="1"/>
  <c r="P22" i="24" a="1"/>
  <c r="P22" i="24" s="1"/>
  <c r="AB22" i="24" a="1"/>
  <c r="AB22" i="24" s="1"/>
  <c r="AN22" i="24" a="1"/>
  <c r="AN22" i="24" s="1"/>
  <c r="AZ22" i="24" a="1"/>
  <c r="AZ22" i="24" s="1"/>
  <c r="BL22" i="24" a="1"/>
  <c r="BL22" i="24" s="1"/>
  <c r="BX22" i="24" a="1"/>
  <c r="BX22" i="24" s="1"/>
  <c r="Q22" i="24" a="1"/>
  <c r="Q22" i="24" s="1"/>
  <c r="AC22" i="24" a="1"/>
  <c r="AC22" i="24" s="1"/>
  <c r="AO22" i="24" a="1"/>
  <c r="AO22" i="24" s="1"/>
  <c r="BA22" i="24" a="1"/>
  <c r="BA22" i="24" s="1"/>
  <c r="BM22" i="24" a="1"/>
  <c r="BM22" i="24" s="1"/>
  <c r="BY22" i="24" a="1"/>
  <c r="BY22" i="24" s="1"/>
  <c r="F22" i="24" a="1"/>
  <c r="F22" i="24" s="1"/>
  <c r="R22" i="24" a="1"/>
  <c r="R22" i="24" s="1"/>
  <c r="AD22" i="24" a="1"/>
  <c r="AD22" i="24" s="1"/>
  <c r="AP22" i="24" a="1"/>
  <c r="AP22" i="24" s="1"/>
  <c r="BB22" i="24" a="1"/>
  <c r="BB22" i="24" s="1"/>
  <c r="BN22" i="24" a="1"/>
  <c r="BN22" i="24" s="1"/>
  <c r="G22" i="24" a="1"/>
  <c r="G22" i="24" s="1"/>
  <c r="S22" i="24" a="1"/>
  <c r="S22" i="24" s="1"/>
  <c r="AE22" i="24" a="1"/>
  <c r="AE22" i="24" s="1"/>
  <c r="AQ22" i="24" a="1"/>
  <c r="AQ22" i="24" s="1"/>
  <c r="BC22" i="24" a="1"/>
  <c r="BC22" i="24" s="1"/>
  <c r="BO22" i="24" a="1"/>
  <c r="BO22" i="24" s="1"/>
  <c r="H22" i="24" a="1"/>
  <c r="H22" i="24" s="1"/>
  <c r="T22" i="24" a="1"/>
  <c r="T22" i="24" s="1"/>
  <c r="AF22" i="24" a="1"/>
  <c r="AF22" i="24" s="1"/>
  <c r="AR22" i="24" a="1"/>
  <c r="AR22" i="24" s="1"/>
  <c r="BD22" i="24" a="1"/>
  <c r="BD22" i="24" s="1"/>
  <c r="BP22" i="24" a="1"/>
  <c r="BP22" i="24" s="1"/>
  <c r="AS22" i="24" a="1"/>
  <c r="AS22" i="24" s="1"/>
  <c r="AT22" i="24" a="1"/>
  <c r="AT22" i="24" s="1"/>
  <c r="BE22" i="24" a="1"/>
  <c r="BE22" i="24" s="1"/>
  <c r="AH22" i="24" a="1"/>
  <c r="AH22" i="24" s="1"/>
  <c r="BF22" i="24" a="1"/>
  <c r="BF22" i="24" s="1"/>
  <c r="AG22" i="24" a="1"/>
  <c r="AG22" i="24" s="1"/>
  <c r="BQ22" i="24" a="1"/>
  <c r="BQ22" i="24" s="1"/>
  <c r="BR22" i="24" a="1"/>
  <c r="BR22" i="24" s="1"/>
  <c r="I22" i="24" a="1"/>
  <c r="I22" i="24" s="1"/>
  <c r="J22" i="24" a="1"/>
  <c r="J22" i="24" s="1"/>
  <c r="U22" i="24" a="1"/>
  <c r="U22" i="24" s="1"/>
  <c r="V22" i="24" a="1"/>
  <c r="V22" i="24" s="1"/>
  <c r="G24" i="24" a="1"/>
  <c r="G24" i="24" s="1"/>
  <c r="R24" i="24" a="1"/>
  <c r="R24" i="24" s="1"/>
  <c r="AB24" i="24" a="1"/>
  <c r="AB24" i="24" s="1"/>
  <c r="AL24" i="24" a="1"/>
  <c r="AL24" i="24" s="1"/>
  <c r="BG24" i="24" a="1"/>
  <c r="BG24" i="24" s="1"/>
  <c r="BQ24" i="24" a="1"/>
  <c r="BQ24" i="24" s="1"/>
  <c r="H24" i="24" a="1"/>
  <c r="H24" i="24" s="1"/>
  <c r="AC24" i="24" a="1"/>
  <c r="AC24" i="24" s="1"/>
  <c r="AM24" i="24" a="1"/>
  <c r="AM24" i="24" s="1"/>
  <c r="AW24" i="24" a="1"/>
  <c r="AW24" i="24" s="1"/>
  <c r="BH24" i="24" a="1"/>
  <c r="BH24" i="24" s="1"/>
  <c r="BR24" i="24" a="1"/>
  <c r="BR24" i="24" s="1"/>
  <c r="I24" i="24" a="1"/>
  <c r="I24" i="24" s="1"/>
  <c r="S24" i="24" a="1"/>
  <c r="S24" i="24" s="1"/>
  <c r="AD24" i="24" a="1"/>
  <c r="AD24" i="24" s="1"/>
  <c r="AN24" i="24" a="1"/>
  <c r="AN24" i="24" s="1"/>
  <c r="AX24" i="24" a="1"/>
  <c r="AX24" i="24" s="1"/>
  <c r="BS24" i="24" a="1"/>
  <c r="BS24" i="24" s="1"/>
  <c r="J24" i="24" a="1"/>
  <c r="J24" i="24" s="1"/>
  <c r="T24" i="24" a="1"/>
  <c r="T24" i="24" s="1"/>
  <c r="AO24" i="24" a="1"/>
  <c r="AO24" i="24" s="1"/>
  <c r="AY24" i="24" a="1"/>
  <c r="AY24" i="24" s="1"/>
  <c r="BI24" i="24" a="1"/>
  <c r="BI24" i="24" s="1"/>
  <c r="BT24" i="24" a="1"/>
  <c r="BT24" i="24" s="1"/>
  <c r="K24" i="24" a="1"/>
  <c r="K24" i="24" s="1"/>
  <c r="U24" i="24" a="1"/>
  <c r="U24" i="24" s="1"/>
  <c r="AE24" i="24" a="1"/>
  <c r="AE24" i="24" s="1"/>
  <c r="AP24" i="24" a="1"/>
  <c r="AP24" i="24" s="1"/>
  <c r="AZ24" i="24" a="1"/>
  <c r="AZ24" i="24" s="1"/>
  <c r="BJ24" i="24" a="1"/>
  <c r="BJ24" i="24" s="1"/>
  <c r="L24" i="24" a="1"/>
  <c r="L24" i="24" s="1"/>
  <c r="V24" i="24" a="1"/>
  <c r="V24" i="24" s="1"/>
  <c r="AF24" i="24" a="1"/>
  <c r="AF24" i="24" s="1"/>
  <c r="BA24" i="24" a="1"/>
  <c r="BA24" i="24" s="1"/>
  <c r="BK24" i="24" a="1"/>
  <c r="BK24" i="24" s="1"/>
  <c r="BU24" i="24" a="1"/>
  <c r="BU24" i="24" s="1"/>
  <c r="W24" i="24" a="1"/>
  <c r="W24" i="24" s="1"/>
  <c r="AG24" i="24" a="1"/>
  <c r="AG24" i="24" s="1"/>
  <c r="AQ24" i="24" a="1"/>
  <c r="AQ24" i="24" s="1"/>
  <c r="BB24" i="24" a="1"/>
  <c r="BB24" i="24" s="1"/>
  <c r="BL24" i="24" a="1"/>
  <c r="BL24" i="24" s="1"/>
  <c r="BV24" i="24" a="1"/>
  <c r="BV24" i="24" s="1"/>
  <c r="M24" i="24" a="1"/>
  <c r="M24" i="24" s="1"/>
  <c r="X24" i="24" a="1"/>
  <c r="X24" i="24" s="1"/>
  <c r="AH24" i="24" a="1"/>
  <c r="AH24" i="24" s="1"/>
  <c r="AR24" i="24" a="1"/>
  <c r="AR24" i="24" s="1"/>
  <c r="BM24" i="24" a="1"/>
  <c r="BM24" i="24" s="1"/>
  <c r="BW24" i="24" a="1"/>
  <c r="BW24" i="24" s="1"/>
  <c r="N24" i="24" a="1"/>
  <c r="N24" i="24" s="1"/>
  <c r="AI24" i="24" a="1"/>
  <c r="AI24" i="24" s="1"/>
  <c r="AS24" i="24" a="1"/>
  <c r="AS24" i="24" s="1"/>
  <c r="BC24" i="24" a="1"/>
  <c r="BC24" i="24" s="1"/>
  <c r="BN24" i="24" a="1"/>
  <c r="BN24" i="24" s="1"/>
  <c r="BX24" i="24" a="1"/>
  <c r="BX24" i="24" s="1"/>
  <c r="F24" i="24" a="1"/>
  <c r="F24" i="24" s="1"/>
  <c r="O24" i="24" a="1"/>
  <c r="O24" i="24" s="1"/>
  <c r="Y24" i="24" a="1"/>
  <c r="Y24" i="24" s="1"/>
  <c r="AT24" i="24" a="1"/>
  <c r="AT24" i="24" s="1"/>
  <c r="BD24" i="24" a="1"/>
  <c r="BD24" i="24" s="1"/>
  <c r="BY24" i="24" a="1"/>
  <c r="BY24" i="24" s="1"/>
  <c r="BE24" i="24" a="1"/>
  <c r="BE24" i="24" s="1"/>
  <c r="BF24" i="24" a="1"/>
  <c r="BF24" i="24" s="1"/>
  <c r="AV24" i="24" a="1"/>
  <c r="AV24" i="24" s="1"/>
  <c r="BO24" i="24" a="1"/>
  <c r="BO24" i="24" s="1"/>
  <c r="BP24" i="24" a="1"/>
  <c r="BP24" i="24" s="1"/>
  <c r="AU24" i="24" a="1"/>
  <c r="AU24" i="24" s="1"/>
  <c r="P24" i="24" a="1"/>
  <c r="P24" i="24" s="1"/>
  <c r="Q24" i="24" a="1"/>
  <c r="Q24" i="24" s="1"/>
  <c r="Z24" i="24" a="1"/>
  <c r="Z24" i="24" s="1"/>
  <c r="AA24" i="24" a="1"/>
  <c r="AA24" i="24" s="1"/>
  <c r="AK24" i="24" a="1"/>
  <c r="AK24" i="24" s="1"/>
  <c r="BZ43" i="24"/>
  <c r="BZ41" i="24"/>
  <c r="D43" i="24"/>
  <c r="D27" i="24"/>
  <c r="E42" i="24"/>
  <c r="E26" i="24"/>
  <c r="B43" i="24"/>
  <c r="B27" i="24"/>
  <c r="C11" i="24"/>
  <c r="F38" i="24"/>
  <c r="BZ38" i="24" s="1"/>
  <c r="BZ6" i="24"/>
  <c r="D38" i="24"/>
  <c r="D22" i="24"/>
  <c r="D40" i="24"/>
  <c r="D24" i="24"/>
  <c r="E39" i="24"/>
  <c r="E23" i="24"/>
  <c r="E41" i="24"/>
  <c r="E25" i="24"/>
  <c r="F42" i="24"/>
  <c r="BZ42" i="24" s="1"/>
  <c r="BZ10" i="24"/>
  <c r="A36" i="24"/>
  <c r="A20" i="24"/>
  <c r="B38" i="24"/>
  <c r="B22" i="24"/>
  <c r="C6" i="24"/>
  <c r="B44" i="24"/>
  <c r="B28" i="24"/>
  <c r="C12" i="24"/>
  <c r="BZ11" i="24"/>
  <c r="F37" i="24"/>
  <c r="BZ37" i="24" s="1"/>
  <c r="BZ5" i="24"/>
  <c r="F44" i="24"/>
  <c r="BZ44" i="24" s="1"/>
  <c r="BZ12" i="24"/>
  <c r="BZ9" i="24"/>
  <c r="C47" i="24"/>
  <c r="C31" i="24"/>
  <c r="D42" i="24"/>
  <c r="D26" i="24"/>
  <c r="F40" i="24"/>
  <c r="BZ40" i="24" s="1"/>
  <c r="BZ8" i="24"/>
  <c r="B40" i="24"/>
  <c r="B24" i="24"/>
  <c r="C8" i="24"/>
  <c r="D44" i="24"/>
  <c r="D28" i="24"/>
  <c r="F39" i="24"/>
  <c r="BZ39" i="24" s="1"/>
  <c r="BZ7" i="24"/>
  <c r="B42" i="24"/>
  <c r="B26" i="24"/>
  <c r="C10" i="24"/>
  <c r="E44" i="24"/>
  <c r="E28" i="24"/>
  <c r="E43" i="24"/>
  <c r="E27" i="24"/>
  <c r="E38" i="24"/>
  <c r="E22" i="24"/>
  <c r="E40" i="24"/>
  <c r="E24" i="24"/>
  <c r="D37" i="24"/>
  <c r="D21" i="24"/>
  <c r="B41" i="24"/>
  <c r="B25" i="24"/>
  <c r="C9" i="24"/>
  <c r="E37" i="24"/>
  <c r="E21" i="24"/>
  <c r="C48" i="24"/>
  <c r="C32" i="24"/>
  <c r="M20" i="24" l="1" a="1"/>
  <c r="M20" i="24" s="1"/>
  <c r="M33" i="24" s="1"/>
  <c r="Y20" i="24" a="1"/>
  <c r="Y20" i="24" s="1"/>
  <c r="AW20" i="24" a="1"/>
  <c r="AW20" i="24" s="1"/>
  <c r="AW33" i="24" s="1"/>
  <c r="BI20" i="24" a="1"/>
  <c r="BI20" i="24" s="1"/>
  <c r="BU20" i="24" a="1"/>
  <c r="BU20" i="24" s="1"/>
  <c r="BU33" i="24" s="1"/>
  <c r="N20" i="24" a="1"/>
  <c r="N20" i="24" s="1"/>
  <c r="N33" i="24" s="1"/>
  <c r="Z20" i="24" a="1"/>
  <c r="Z20" i="24" s="1"/>
  <c r="Z33" i="24" s="1"/>
  <c r="AX20" i="24" a="1"/>
  <c r="AX20" i="24" s="1"/>
  <c r="AX33" i="24" s="1"/>
  <c r="BJ20" i="24" a="1"/>
  <c r="BJ20" i="24" s="1"/>
  <c r="BJ33" i="24" s="1"/>
  <c r="BV20" i="24" a="1"/>
  <c r="BV20" i="24" s="1"/>
  <c r="BV33" i="24" s="1"/>
  <c r="O20" i="24" a="1"/>
  <c r="O20" i="24" s="1"/>
  <c r="O33" i="24" s="1"/>
  <c r="AA20" i="24" a="1"/>
  <c r="AA20" i="24" s="1"/>
  <c r="AA33" i="24" s="1"/>
  <c r="AY20" i="24" a="1"/>
  <c r="AY20" i="24" s="1"/>
  <c r="AY33" i="24" s="1"/>
  <c r="BK20" i="24" a="1"/>
  <c r="BK20" i="24" s="1"/>
  <c r="BW20" i="24" a="1"/>
  <c r="BW20" i="24" s="1"/>
  <c r="BW33" i="24" s="1"/>
  <c r="P20" i="24" a="1"/>
  <c r="P20" i="24" s="1"/>
  <c r="P33" i="24" s="1"/>
  <c r="AB20" i="24" a="1"/>
  <c r="AB20" i="24" s="1"/>
  <c r="AB33" i="24" s="1"/>
  <c r="AZ20" i="24" a="1"/>
  <c r="AZ20" i="24" s="1"/>
  <c r="AZ33" i="24" s="1"/>
  <c r="BL20" i="24" a="1"/>
  <c r="BL20" i="24" s="1"/>
  <c r="BL33" i="24" s="1"/>
  <c r="BX20" i="24" a="1"/>
  <c r="BX20" i="24" s="1"/>
  <c r="BX33" i="24" s="1"/>
  <c r="Q20" i="24" a="1"/>
  <c r="Q20" i="24" s="1"/>
  <c r="Q33" i="24" s="1"/>
  <c r="AC20" i="24" a="1"/>
  <c r="AC20" i="24" s="1"/>
  <c r="AC33" i="24" s="1"/>
  <c r="AO20" i="24" a="1"/>
  <c r="AO20" i="24" s="1"/>
  <c r="AO33" i="24" s="1"/>
  <c r="BA20" i="24" a="1"/>
  <c r="BA20" i="24" s="1"/>
  <c r="BA33" i="24" s="1"/>
  <c r="BM20" i="24" a="1"/>
  <c r="BM20" i="24" s="1"/>
  <c r="BM33" i="24" s="1"/>
  <c r="BY20" i="24" a="1"/>
  <c r="BY20" i="24" s="1"/>
  <c r="BY33" i="24" s="1"/>
  <c r="R20" i="24" a="1"/>
  <c r="R20" i="24" s="1"/>
  <c r="R33" i="24" s="1"/>
  <c r="AP20" i="24" a="1"/>
  <c r="AP20" i="24" s="1"/>
  <c r="AP33" i="24" s="1"/>
  <c r="BB20" i="24" a="1"/>
  <c r="BB20" i="24" s="1"/>
  <c r="BB33" i="24" s="1"/>
  <c r="BN20" i="24" a="1"/>
  <c r="BN20" i="24" s="1"/>
  <c r="BN33" i="24" s="1"/>
  <c r="G20" i="24" a="1"/>
  <c r="G20" i="24" s="1"/>
  <c r="G33" i="24" s="1"/>
  <c r="S20" i="24" a="1"/>
  <c r="S20" i="24" s="1"/>
  <c r="S33" i="24" s="1"/>
  <c r="AE20" i="24" a="1"/>
  <c r="AE20" i="24" s="1"/>
  <c r="AE33" i="24" s="1"/>
  <c r="AQ20" i="24" a="1"/>
  <c r="AQ20" i="24" s="1"/>
  <c r="AQ33" i="24" s="1"/>
  <c r="BC20" i="24" a="1"/>
  <c r="BC20" i="24" s="1"/>
  <c r="BC33" i="24" s="1"/>
  <c r="BO20" i="24" a="1"/>
  <c r="BO20" i="24" s="1"/>
  <c r="BO33" i="24" s="1"/>
  <c r="H20" i="24" a="1"/>
  <c r="H20" i="24" s="1"/>
  <c r="H33" i="24" s="1"/>
  <c r="T20" i="24" a="1"/>
  <c r="T20" i="24" s="1"/>
  <c r="T33" i="24" s="1"/>
  <c r="AR20" i="24" a="1"/>
  <c r="AR20" i="24" s="1"/>
  <c r="AR33" i="24" s="1"/>
  <c r="BD20" i="24" a="1"/>
  <c r="BD20" i="24" s="1"/>
  <c r="BD33" i="24" s="1"/>
  <c r="BP20" i="24" a="1"/>
  <c r="BP20" i="24" s="1"/>
  <c r="BP33" i="24" s="1"/>
  <c r="F20" i="24" a="1"/>
  <c r="F20" i="24" s="1"/>
  <c r="I20" i="24" a="1"/>
  <c r="I20" i="24" s="1"/>
  <c r="I33" i="24" s="1"/>
  <c r="U20" i="24" a="1"/>
  <c r="U20" i="24" s="1"/>
  <c r="U33" i="24" s="1"/>
  <c r="AS20" i="24" a="1"/>
  <c r="AS20" i="24" s="1"/>
  <c r="AS33" i="24" s="1"/>
  <c r="BE20" i="24" a="1"/>
  <c r="BE20" i="24" s="1"/>
  <c r="BE33" i="24" s="1"/>
  <c r="BQ20" i="24" a="1"/>
  <c r="BQ20" i="24" s="1"/>
  <c r="BQ33" i="24" s="1"/>
  <c r="J20" i="24" a="1"/>
  <c r="J20" i="24" s="1"/>
  <c r="J33" i="24" s="1"/>
  <c r="V20" i="24" a="1"/>
  <c r="V20" i="24" s="1"/>
  <c r="V33" i="24" s="1"/>
  <c r="AT20" i="24" a="1"/>
  <c r="AT20" i="24" s="1"/>
  <c r="AT33" i="24" s="1"/>
  <c r="BF20" i="24" a="1"/>
  <c r="BF20" i="24" s="1"/>
  <c r="BF33" i="24" s="1"/>
  <c r="BR20" i="24" a="1"/>
  <c r="BR20" i="24" s="1"/>
  <c r="BR33" i="24" s="1"/>
  <c r="AU20" i="24" a="1"/>
  <c r="AU20" i="24" s="1"/>
  <c r="AU33" i="24" s="1"/>
  <c r="X20" i="24" a="1"/>
  <c r="X20" i="24" s="1"/>
  <c r="X33" i="24" s="1"/>
  <c r="AV20" i="24" a="1"/>
  <c r="AV20" i="24" s="1"/>
  <c r="AV33" i="24" s="1"/>
  <c r="BG20" i="24" a="1"/>
  <c r="BG20" i="24" s="1"/>
  <c r="BG33" i="24" s="1"/>
  <c r="BH20" i="24" a="1"/>
  <c r="BH20" i="24" s="1"/>
  <c r="BH33" i="24" s="1"/>
  <c r="BS20" i="24" a="1"/>
  <c r="BS20" i="24" s="1"/>
  <c r="BS33" i="24" s="1"/>
  <c r="AJ20" i="24" a="1"/>
  <c r="AJ20" i="24" s="1"/>
  <c r="BT20" i="24" a="1"/>
  <c r="BT20" i="24" s="1"/>
  <c r="BT33" i="24" s="1"/>
  <c r="K20" i="24" a="1"/>
  <c r="K20" i="24" s="1"/>
  <c r="K33" i="24" s="1"/>
  <c r="L20" i="24" a="1"/>
  <c r="L20" i="24" s="1"/>
  <c r="L33" i="24" s="1"/>
  <c r="W20" i="24" a="1"/>
  <c r="W20" i="24" s="1"/>
  <c r="W33" i="24" s="1"/>
  <c r="AI20" i="24" a="1"/>
  <c r="AI20" i="24" s="1"/>
  <c r="AI33" i="24" s="1"/>
  <c r="AZ36" i="24"/>
  <c r="AZ49" i="24" s="1"/>
  <c r="AZ17" i="24"/>
  <c r="AD36" i="24"/>
  <c r="AD49" i="24" s="1"/>
  <c r="AD17" i="24"/>
  <c r="Q36" i="24"/>
  <c r="Q49" i="24" s="1"/>
  <c r="Q17" i="24"/>
  <c r="BE36" i="24"/>
  <c r="BE49" i="24" s="1"/>
  <c r="BE17" i="24"/>
  <c r="BG36" i="24"/>
  <c r="BG49" i="24" s="1"/>
  <c r="BG17" i="24"/>
  <c r="Y36" i="24"/>
  <c r="Y49" i="24" s="1"/>
  <c r="Y17" i="24"/>
  <c r="AA36" i="24"/>
  <c r="AA49" i="24" s="1"/>
  <c r="AA17" i="24"/>
  <c r="BX36" i="24"/>
  <c r="BX49" i="24" s="1"/>
  <c r="BX17" i="24"/>
  <c r="BZ26" i="24"/>
  <c r="BO36" i="24"/>
  <c r="BO49" i="24" s="1"/>
  <c r="BO17" i="24"/>
  <c r="R36" i="24"/>
  <c r="R49" i="24" s="1"/>
  <c r="R17" i="24"/>
  <c r="BZ27" i="24"/>
  <c r="F36" i="24"/>
  <c r="F17" i="24"/>
  <c r="BZ4" i="24"/>
  <c r="C40" i="24"/>
  <c r="C24" i="24"/>
  <c r="BQ36" i="24"/>
  <c r="BQ49" i="24" s="1"/>
  <c r="BQ17" i="24"/>
  <c r="BB36" i="24"/>
  <c r="BB49" i="24" s="1"/>
  <c r="BB17" i="24"/>
  <c r="AO36" i="24"/>
  <c r="AO49" i="24" s="1"/>
  <c r="AO17" i="24"/>
  <c r="J36" i="24"/>
  <c r="J49" i="24" s="1"/>
  <c r="J17" i="24"/>
  <c r="L36" i="24"/>
  <c r="L49" i="24" s="1"/>
  <c r="L17" i="24"/>
  <c r="AW36" i="24"/>
  <c r="AW49" i="24" s="1"/>
  <c r="AW17" i="24"/>
  <c r="AY36" i="24"/>
  <c r="AY49" i="24" s="1"/>
  <c r="AY17" i="24"/>
  <c r="M36" i="24"/>
  <c r="M49" i="24" s="1"/>
  <c r="M17" i="24"/>
  <c r="BN36" i="24"/>
  <c r="BN49" i="24" s="1"/>
  <c r="BN17" i="24"/>
  <c r="BA36" i="24"/>
  <c r="BA49" i="24" s="1"/>
  <c r="BA17" i="24"/>
  <c r="V36" i="24"/>
  <c r="V49" i="24" s="1"/>
  <c r="V17" i="24"/>
  <c r="X36" i="24"/>
  <c r="X49" i="24" s="1"/>
  <c r="X17" i="24"/>
  <c r="BI36" i="24"/>
  <c r="BI49" i="24" s="1"/>
  <c r="BI17" i="24"/>
  <c r="BK36" i="24"/>
  <c r="BK49" i="24" s="1"/>
  <c r="BK17" i="24"/>
  <c r="C43" i="24"/>
  <c r="C27" i="24"/>
  <c r="Z36" i="24"/>
  <c r="Z49" i="24" s="1"/>
  <c r="Z17" i="24"/>
  <c r="AS36" i="24"/>
  <c r="AS49" i="24" s="1"/>
  <c r="AS17" i="24"/>
  <c r="AK36" i="24"/>
  <c r="AK49" i="24" s="1"/>
  <c r="AK17" i="24"/>
  <c r="C44" i="24"/>
  <c r="C28" i="24"/>
  <c r="G36" i="24"/>
  <c r="G49" i="24" s="1"/>
  <c r="G17" i="24"/>
  <c r="BM36" i="24"/>
  <c r="BM49" i="24" s="1"/>
  <c r="BM17" i="24"/>
  <c r="AH36" i="24"/>
  <c r="AH49" i="24" s="1"/>
  <c r="AH17" i="24"/>
  <c r="AJ36" i="24"/>
  <c r="AJ49" i="24" s="1"/>
  <c r="AJ17" i="24"/>
  <c r="BU36" i="24"/>
  <c r="BU49" i="24" s="1"/>
  <c r="BU17" i="24"/>
  <c r="BW36" i="24"/>
  <c r="BW49" i="24" s="1"/>
  <c r="BW17" i="24"/>
  <c r="AI36" i="24"/>
  <c r="AI49" i="24" s="1"/>
  <c r="AI17" i="24"/>
  <c r="H36" i="24"/>
  <c r="H49" i="24" s="1"/>
  <c r="H17" i="24"/>
  <c r="BY36" i="24"/>
  <c r="BY49" i="24" s="1"/>
  <c r="BY17" i="24"/>
  <c r="AT36" i="24"/>
  <c r="AT49" i="24" s="1"/>
  <c r="AT17" i="24"/>
  <c r="AV36" i="24"/>
  <c r="AV49" i="24" s="1"/>
  <c r="AV17" i="24"/>
  <c r="B36" i="24"/>
  <c r="C4" i="24"/>
  <c r="B20" i="24"/>
  <c r="AL36" i="24"/>
  <c r="AL49" i="24" s="1"/>
  <c r="AL17" i="24"/>
  <c r="AU36" i="24"/>
  <c r="AU49" i="24" s="1"/>
  <c r="AU17" i="24"/>
  <c r="AP36" i="24"/>
  <c r="AP49" i="24" s="1"/>
  <c r="AP17" i="24"/>
  <c r="C42" i="24"/>
  <c r="C26" i="24"/>
  <c r="T36" i="24"/>
  <c r="T49" i="24" s="1"/>
  <c r="T17" i="24"/>
  <c r="S36" i="24"/>
  <c r="S49" i="24" s="1"/>
  <c r="S17" i="24"/>
  <c r="BF36" i="24"/>
  <c r="BF49" i="24" s="1"/>
  <c r="BF17" i="24"/>
  <c r="BH36" i="24"/>
  <c r="BH49" i="24" s="1"/>
  <c r="BH17" i="24"/>
  <c r="N36" i="24"/>
  <c r="N49" i="24" s="1"/>
  <c r="N17" i="24"/>
  <c r="D36" i="24"/>
  <c r="D20" i="24"/>
  <c r="AG36" i="24"/>
  <c r="AG49" i="24" s="1"/>
  <c r="AG17" i="24"/>
  <c r="E36" i="24"/>
  <c r="E20" i="24"/>
  <c r="BL36" i="24"/>
  <c r="BL49" i="24" s="1"/>
  <c r="BL17" i="24"/>
  <c r="BS36" i="24"/>
  <c r="BS49" i="24" s="1"/>
  <c r="BS17" i="24"/>
  <c r="BK33" i="24"/>
  <c r="BI33" i="24"/>
  <c r="Y33" i="24"/>
  <c r="BZ28" i="24"/>
  <c r="C38" i="24"/>
  <c r="C22" i="24"/>
  <c r="AF36" i="24"/>
  <c r="AF49" i="24" s="1"/>
  <c r="AF17" i="24"/>
  <c r="BC36" i="24"/>
  <c r="BC49" i="24" s="1"/>
  <c r="BC17" i="24"/>
  <c r="BR36" i="24"/>
  <c r="BR49" i="24" s="1"/>
  <c r="BR17" i="24"/>
  <c r="BT36" i="24"/>
  <c r="BT49" i="24" s="1"/>
  <c r="BT17" i="24"/>
  <c r="AX36" i="24"/>
  <c r="AX49" i="24" s="1"/>
  <c r="AX17" i="24"/>
  <c r="P36" i="24"/>
  <c r="P49" i="24" s="1"/>
  <c r="P17" i="24"/>
  <c r="BP36" i="24"/>
  <c r="BP49" i="24" s="1"/>
  <c r="BP17" i="24"/>
  <c r="O36" i="24"/>
  <c r="O49" i="24" s="1"/>
  <c r="O17" i="24"/>
  <c r="AC36" i="24"/>
  <c r="AC49" i="24" s="1"/>
  <c r="AC17" i="24"/>
  <c r="C41" i="24"/>
  <c r="C25" i="24"/>
  <c r="AR36" i="24"/>
  <c r="AR49" i="24" s="1"/>
  <c r="AR17" i="24"/>
  <c r="I36" i="24"/>
  <c r="I49" i="24" s="1"/>
  <c r="I17" i="24"/>
  <c r="K36" i="24"/>
  <c r="K49" i="24" s="1"/>
  <c r="K17" i="24"/>
  <c r="AE36" i="24"/>
  <c r="AE49" i="24" s="1"/>
  <c r="AE17" i="24"/>
  <c r="BJ36" i="24"/>
  <c r="BJ49" i="24" s="1"/>
  <c r="BJ17" i="24"/>
  <c r="AB36" i="24"/>
  <c r="AB49" i="24" s="1"/>
  <c r="AB17" i="24"/>
  <c r="AM36" i="24"/>
  <c r="AM49" i="24" s="1"/>
  <c r="AM17" i="24"/>
  <c r="BD36" i="24"/>
  <c r="BD49" i="24" s="1"/>
  <c r="BD17" i="24"/>
  <c r="U36" i="24"/>
  <c r="U49" i="24" s="1"/>
  <c r="U17" i="24"/>
  <c r="W36" i="24"/>
  <c r="W49" i="24" s="1"/>
  <c r="W17" i="24"/>
  <c r="AQ36" i="24"/>
  <c r="AQ49" i="24" s="1"/>
  <c r="AQ17" i="24"/>
  <c r="BV36" i="24"/>
  <c r="BV49" i="24" s="1"/>
  <c r="BV17" i="24"/>
  <c r="AN36" i="24"/>
  <c r="AN49" i="24" s="1"/>
  <c r="AN17" i="24"/>
  <c r="BZ17" i="24" l="1"/>
  <c r="CA17" i="24" s="1"/>
  <c r="F49" i="24"/>
  <c r="BZ49" i="24" s="1"/>
  <c r="BZ36" i="24"/>
  <c r="F33" i="24"/>
  <c r="C36" i="24"/>
  <c r="C20" i="24"/>
  <c r="K41" i="20" l="1"/>
  <c r="H41" i="20"/>
  <c r="G15" i="20"/>
  <c r="G16" i="20"/>
  <c r="G17" i="20"/>
  <c r="G18" i="20"/>
  <c r="G19" i="20"/>
  <c r="G20" i="20"/>
  <c r="G21" i="20"/>
  <c r="G22" i="20"/>
  <c r="G23" i="20"/>
  <c r="G24" i="20"/>
  <c r="G27" i="20"/>
  <c r="E6" i="23" s="1"/>
  <c r="G6" i="23" s="1"/>
  <c r="G28" i="20"/>
  <c r="G29" i="20"/>
  <c r="G32" i="20"/>
  <c r="G7" i="23" s="1"/>
  <c r="G33" i="20"/>
  <c r="G36" i="20"/>
  <c r="E8" i="23" s="1"/>
  <c r="G8" i="23" s="1"/>
  <c r="G37" i="20"/>
  <c r="G39" i="20"/>
  <c r="E9" i="23" s="1"/>
  <c r="G9" i="23" s="1"/>
  <c r="G14" i="20"/>
  <c r="E5" i="23" s="1"/>
  <c r="G5" i="23" l="1"/>
  <c r="G10" i="23" s="1"/>
  <c r="E10" i="23"/>
  <c r="G41" i="20"/>
  <c r="J15" i="20" l="1"/>
  <c r="L15" i="20" s="1"/>
  <c r="J16" i="20"/>
  <c r="L16" i="20" s="1"/>
  <c r="J17" i="20"/>
  <c r="J18" i="20"/>
  <c r="L18" i="20" s="1"/>
  <c r="J19" i="20"/>
  <c r="L19" i="20" s="1"/>
  <c r="J20" i="20"/>
  <c r="L20" i="20" s="1"/>
  <c r="J14" i="20"/>
  <c r="L14" i="20" s="1"/>
  <c r="J21" i="20"/>
  <c r="J22" i="20"/>
  <c r="L22" i="20" s="1"/>
  <c r="J23" i="20"/>
  <c r="L23" i="20" s="1"/>
  <c r="J24" i="20"/>
  <c r="J27" i="20"/>
  <c r="M27" i="20" s="1"/>
  <c r="J28" i="20"/>
  <c r="M28" i="20" s="1"/>
  <c r="J29" i="20"/>
  <c r="M29" i="20" s="1"/>
  <c r="J32" i="20"/>
  <c r="L32" i="20" s="1"/>
  <c r="J33" i="20"/>
  <c r="J36" i="20"/>
  <c r="J37" i="20"/>
  <c r="J39" i="20"/>
  <c r="L39" i="20" s="1"/>
  <c r="N21" i="20" l="1"/>
  <c r="M41" i="20"/>
  <c r="L17" i="20"/>
  <c r="J41" i="20"/>
  <c r="N37" i="20"/>
  <c r="N36" i="20"/>
  <c r="F8" i="23" s="1"/>
  <c r="H8" i="23" s="1"/>
  <c r="N33" i="20"/>
  <c r="N24" i="20"/>
  <c r="AN20" i="24" s="1" a="1"/>
  <c r="AN20" i="24" s="1"/>
  <c r="AN33" i="24" s="1"/>
  <c r="L24" i="20"/>
  <c r="L21" i="20"/>
  <c r="N32" i="20"/>
  <c r="N14" i="20"/>
  <c r="L37" i="20"/>
  <c r="L36" i="20"/>
  <c r="L33" i="20"/>
  <c r="N29" i="20"/>
  <c r="AL22" i="24" s="1" a="1"/>
  <c r="AL22" i="24" s="1"/>
  <c r="N20" i="20"/>
  <c r="AK20" i="24" s="1" a="1"/>
  <c r="AK20" i="24" s="1"/>
  <c r="N28" i="20"/>
  <c r="L28" i="20" s="1"/>
  <c r="N17" i="20"/>
  <c r="N27" i="20"/>
  <c r="N16" i="20"/>
  <c r="AG20" i="24" s="1" a="1"/>
  <c r="AG20" i="24" s="1"/>
  <c r="AG33" i="24" s="1"/>
  <c r="N39" i="20"/>
  <c r="N18" i="20"/>
  <c r="N15" i="20"/>
  <c r="AF20" i="24" s="1" a="1"/>
  <c r="AF20" i="24" s="1"/>
  <c r="AF33" i="24" s="1"/>
  <c r="N23" i="20"/>
  <c r="AM20" i="24" s="1" a="1"/>
  <c r="AM20" i="24" s="1"/>
  <c r="AM33" i="24" s="1"/>
  <c r="N22" i="20"/>
  <c r="AL20" i="24" s="1" a="1"/>
  <c r="AL20" i="24" s="1"/>
  <c r="N19" i="20"/>
  <c r="F6" i="23" l="1"/>
  <c r="H6" i="23" s="1"/>
  <c r="AK22" i="24" a="1"/>
  <c r="AK22" i="24" s="1"/>
  <c r="AD20" i="24" a="1"/>
  <c r="AD20" i="24" s="1"/>
  <c r="AD33" i="24" s="1"/>
  <c r="F5" i="23"/>
  <c r="AJ22" i="24" a="1"/>
  <c r="AJ22" i="24" s="1"/>
  <c r="F7" i="23"/>
  <c r="H7" i="23" s="1"/>
  <c r="AJ25" i="24" a="1"/>
  <c r="AJ25" i="24" s="1"/>
  <c r="BZ25" i="24" s="1"/>
  <c r="F9" i="23"/>
  <c r="H9" i="23" s="1"/>
  <c r="AH20" i="24" a="1"/>
  <c r="AH20" i="24" s="1"/>
  <c r="AH33" i="24" s="1"/>
  <c r="AJ24" i="24" a="1"/>
  <c r="AJ24" i="24" s="1"/>
  <c r="BZ24" i="24" s="1"/>
  <c r="AJ23" i="24" a="1"/>
  <c r="AJ23" i="24" s="1"/>
  <c r="BZ23" i="24" s="1"/>
  <c r="L27" i="20"/>
  <c r="AK21" i="24" a="1"/>
  <c r="AK21" i="24" s="1"/>
  <c r="L29" i="20"/>
  <c r="AL21" i="24" a="1"/>
  <c r="AL21" i="24" s="1"/>
  <c r="AL33" i="24" s="1"/>
  <c r="N41" i="20"/>
  <c r="BZ22" i="24" l="1"/>
  <c r="F10" i="23"/>
  <c r="H5" i="23"/>
  <c r="H10" i="23" s="1"/>
  <c r="BZ20" i="24"/>
  <c r="L41" i="20"/>
  <c r="AJ33" i="24"/>
  <c r="BZ21" i="24"/>
  <c r="AK33" i="24"/>
  <c r="BZ33" i="24" l="1"/>
  <c r="CA33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<sst xmlns="http://schemas.openxmlformats.org/spreadsheetml/2006/main" count="189" uniqueCount="85">
  <si>
    <t>Заложено в ФП</t>
  </si>
  <si>
    <t>Специалист</t>
  </si>
  <si>
    <t>Месяц выполнения работ</t>
  </si>
  <si>
    <t>Сумма изменений</t>
  </si>
  <si>
    <t>Роль</t>
  </si>
  <si>
    <t>Комментарий</t>
  </si>
  <si>
    <t>Senior разработчик БД</t>
  </si>
  <si>
    <t>Форма контрактации</t>
  </si>
  <si>
    <t>Часы 
ПЛАН</t>
  </si>
  <si>
    <t>Часы 
ФАКТ</t>
  </si>
  <si>
    <t>Ставка Gross</t>
  </si>
  <si>
    <t>Прогнозный месяц подписания Акта</t>
  </si>
  <si>
    <t>Прогнозный срок выплат</t>
  </si>
  <si>
    <t>СМЗ</t>
  </si>
  <si>
    <t>Захаров Юрий</t>
  </si>
  <si>
    <t>Толстоусова Ольга</t>
  </si>
  <si>
    <t>ГПХ</t>
  </si>
  <si>
    <t>Senior Аналитик</t>
  </si>
  <si>
    <t>Страховые взносы 7,8%</t>
  </si>
  <si>
    <t>Карпов Алексей</t>
  </si>
  <si>
    <t>Черепанов Валерий</t>
  </si>
  <si>
    <t>Сазонов Павел</t>
  </si>
  <si>
    <t>ИП</t>
  </si>
  <si>
    <t>Senior C++</t>
  </si>
  <si>
    <t>Senior DevOps</t>
  </si>
  <si>
    <t>Senior Архитектор решений</t>
  </si>
  <si>
    <t>Итог</t>
  </si>
  <si>
    <t>Общий итог</t>
  </si>
  <si>
    <t>Сумма_изменений</t>
  </si>
  <si>
    <t>Заложено_в_ФП</t>
  </si>
  <si>
    <t>Версия респлана</t>
  </si>
  <si>
    <t>Бюджет на согласовании</t>
  </si>
  <si>
    <t>Дельта</t>
  </si>
  <si>
    <t>ФИО подрядчика</t>
  </si>
  <si>
    <t>Форма контрактациии</t>
  </si>
  <si>
    <t>ФП (часы)</t>
  </si>
  <si>
    <t>ФП деньги (с НДС)</t>
  </si>
  <si>
    <t>Итог:</t>
  </si>
  <si>
    <t>ФИО</t>
  </si>
  <si>
    <t>Форма контрактования</t>
  </si>
  <si>
    <t>Процент страховых взносов (для расчета)</t>
  </si>
  <si>
    <t>Ставка НДС</t>
  </si>
  <si>
    <t>Ставка net/без НДС</t>
  </si>
  <si>
    <t>ИТОГО</t>
  </si>
  <si>
    <t>Ресурсы Time&amp;Material:</t>
  </si>
  <si>
    <t>check</t>
  </si>
  <si>
    <t>*пересчет в руб., не заполнять</t>
  </si>
  <si>
    <t>*пересчет в часах., не заполнять</t>
  </si>
  <si>
    <t>Информация по листу:</t>
  </si>
  <si>
    <t>данные строки скопировать в лист расчета проектов - 4. Расчет подряда и дежурств</t>
  </si>
  <si>
    <t>Не добавлять строки, столбцы - тогда нужно корретировать в шаблоне проектов. Только проверяем итоги с таблицей расчеты и копируем.</t>
  </si>
  <si>
    <t>Загрузка респлан</t>
  </si>
  <si>
    <t>Итого без овертаймов</t>
  </si>
  <si>
    <t>оплачено 31.01.2025</t>
  </si>
  <si>
    <t>оплачено в марте 2025</t>
  </si>
  <si>
    <t>оплачено 13.05.2025</t>
  </si>
  <si>
    <t>оплачено 10.06.2025</t>
  </si>
  <si>
    <t>оплачено 14.08.2025</t>
  </si>
  <si>
    <t>оплачено 12.08.2025</t>
  </si>
  <si>
    <t>оплачено 31.07.2025</t>
  </si>
  <si>
    <t>Итого_без_овертаймов</t>
  </si>
  <si>
    <t>Итого со страховыми</t>
  </si>
  <si>
    <t>Итого_со_страховыми</t>
  </si>
  <si>
    <t>оплачено 30.09.2025</t>
  </si>
  <si>
    <t>оплачено 09.10.2025</t>
  </si>
  <si>
    <t>договор подряда закончен</t>
  </si>
  <si>
    <t>оплачено 18.09.2025</t>
  </si>
  <si>
    <t>оплачено 23.10.2025</t>
  </si>
  <si>
    <t>оплачено 20.11.2025</t>
  </si>
  <si>
    <t>Платформа Медиа 2527D v56</t>
  </si>
  <si>
    <t>оплачено 28.10.2025</t>
  </si>
  <si>
    <t xml:space="preserve">Утвержденный бюджет </t>
  </si>
  <si>
    <t>Подрядчик</t>
  </si>
  <si>
    <t>Итого за период 
без НДС</t>
  </si>
  <si>
    <t>Итого за период 
с НДС</t>
  </si>
  <si>
    <t>Заложено в ФП с НДС</t>
  </si>
  <si>
    <t>Сумма изменений с НДС</t>
  </si>
  <si>
    <t>Прогнозный месяц выплат</t>
  </si>
  <si>
    <t>ООО "Исходный код"</t>
  </si>
  <si>
    <t>МТИ</t>
  </si>
  <si>
    <t>Итого_за_период 
без_НДС</t>
  </si>
  <si>
    <t>Итого_за_период _с_НДС</t>
  </si>
  <si>
    <t>Заложено_в_ФП_с_НДС</t>
  </si>
  <si>
    <t>Сумма_изменений_с_НДС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</si>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</sst>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5" formatCode="#,##0\ &quot;₽&quot;;\-#,##0\ &quot;₽&quot;"/>
    <numFmt numFmtId="43" formatCode="_-* #,##0.00_-;\-* #,##0.00_-;_-* &quot;-&quot;??_-;_-@_-"/>
    <numFmt numFmtId="164" formatCode="#,##0.00\ &quot;₽&quot;"/>
    <numFmt numFmtId="165" formatCode="#,##0\ &quot;₽&quot;"/>
    <numFmt numFmtId="166" formatCode="#,##0\ _₽"/>
    <numFmt numFmtId="167" formatCode="0.0%"/>
    <numFmt numFmtId="168" formatCode="_-* #,##0_-;\-* #,##0_-;_-* &quot;-&quot;??_-;_-@_-"/>
    <numFmt numFmtId="169" formatCode="[$-419]mmmm\ yyyy;@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0"/>
      <color rgb="FF172B4D"/>
      <name val="Calibri"/>
      <family val="2"/>
      <charset val="204"/>
      <scheme val="minor"/>
    </font>
    <font>
      <b/>
      <sz val="11"/>
      <color rgb="FF172B4D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i/>
      <sz val="12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thin">
        <color indexed="64"/>
      </bottom>
      <diagonal/>
    </border>
    <border>
      <left/>
      <right/>
      <top style="dashed">
        <color auto="1"/>
      </top>
      <bottom style="thin">
        <color indexed="64"/>
      </bottom>
      <diagonal/>
    </border>
    <border>
      <left/>
      <right style="thin">
        <color indexed="64"/>
      </right>
      <top style="dashed">
        <color auto="1"/>
      </top>
      <bottom style="thin">
        <color indexed="64"/>
      </bottom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 style="thin">
        <color indexed="64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17" fontId="0" fillId="0" borderId="0" xfId="0" applyNumberFormat="1"/>
    <xf numFmtId="0" fontId="6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6" fillId="2" borderId="5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7" fontId="7" fillId="2" borderId="7" xfId="0" applyNumberFormat="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top" wrapText="1"/>
    </xf>
    <xf numFmtId="166" fontId="0" fillId="0" borderId="3" xfId="0" applyNumberFormat="1" applyBorder="1" applyAlignment="1">
      <alignment vertical="top"/>
    </xf>
    <xf numFmtId="166" fontId="0" fillId="0" borderId="9" xfId="0" applyNumberFormat="1" applyBorder="1" applyAlignment="1">
      <alignment vertical="top"/>
    </xf>
    <xf numFmtId="165" fontId="0" fillId="0" borderId="3" xfId="0" applyNumberFormat="1" applyBorder="1" applyAlignment="1">
      <alignment horizontal="center" vertical="top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8" fillId="2" borderId="2" xfId="0" applyFont="1" applyFill="1" applyBorder="1" applyAlignment="1">
      <alignment horizontal="centerContinuous" vertical="top"/>
    </xf>
    <xf numFmtId="0" fontId="8" fillId="2" borderId="13" xfId="0" applyFont="1" applyFill="1" applyBorder="1" applyAlignment="1">
      <alignment horizontal="centerContinuous" vertical="top"/>
    </xf>
    <xf numFmtId="0" fontId="8" fillId="2" borderId="1" xfId="0" applyFont="1" applyFill="1" applyBorder="1" applyAlignment="1">
      <alignment horizontal="centerContinuous" vertical="top"/>
    </xf>
    <xf numFmtId="0" fontId="8" fillId="2" borderId="7" xfId="0" applyFont="1" applyFill="1" applyBorder="1" applyAlignment="1">
      <alignment horizontal="centerContinuous" vertical="top"/>
    </xf>
    <xf numFmtId="0" fontId="0" fillId="2" borderId="11" xfId="0" applyFill="1" applyBorder="1" applyAlignment="1">
      <alignment vertical="top"/>
    </xf>
    <xf numFmtId="0" fontId="0" fillId="2" borderId="0" xfId="0" applyFill="1" applyAlignment="1">
      <alignment vertical="top"/>
    </xf>
    <xf numFmtId="0" fontId="10" fillId="2" borderId="6" xfId="0" applyFont="1" applyFill="1" applyBorder="1" applyAlignment="1">
      <alignment horizontal="centerContinuous" vertical="top"/>
    </xf>
    <xf numFmtId="0" fontId="8" fillId="2" borderId="12" xfId="0" applyFont="1" applyFill="1" applyBorder="1" applyAlignment="1">
      <alignment horizontal="centerContinuous" vertical="top"/>
    </xf>
    <xf numFmtId="0" fontId="8" fillId="2" borderId="5" xfId="0" applyFont="1" applyFill="1" applyBorder="1" applyAlignment="1">
      <alignment horizontal="centerContinuous" vertical="top"/>
    </xf>
    <xf numFmtId="0" fontId="0" fillId="2" borderId="6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8" fillId="2" borderId="4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0" fontId="8" fillId="2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164" fontId="8" fillId="2" borderId="1" xfId="0" applyNumberFormat="1" applyFont="1" applyFill="1" applyBorder="1" applyAlignment="1">
      <alignment horizontal="center" vertical="top"/>
    </xf>
    <xf numFmtId="1" fontId="8" fillId="2" borderId="1" xfId="0" applyNumberFormat="1" applyFont="1" applyFill="1" applyBorder="1" applyAlignment="1">
      <alignment horizontal="center" vertical="top"/>
    </xf>
    <xf numFmtId="0" fontId="11" fillId="3" borderId="1" xfId="2" applyFont="1" applyFill="1" applyBorder="1" applyAlignment="1" applyProtection="1">
      <alignment horizontal="center" vertical="center" wrapText="1"/>
      <protection locked="0"/>
    </xf>
    <xf numFmtId="14" fontId="12" fillId="3" borderId="1" xfId="2" quotePrefix="1" applyNumberFormat="1" applyFont="1" applyFill="1" applyBorder="1" applyAlignment="1" applyProtection="1">
      <alignment horizontal="center" vertical="center" textRotation="90"/>
      <protection locked="0"/>
    </xf>
    <xf numFmtId="14" fontId="12" fillId="4" borderId="1" xfId="2" quotePrefix="1" applyNumberFormat="1" applyFont="1" applyFill="1" applyBorder="1" applyAlignment="1" applyProtection="1">
      <alignment horizontal="center" vertical="center" textRotation="90"/>
      <protection locked="0"/>
    </xf>
    <xf numFmtId="0" fontId="13" fillId="0" borderId="0" xfId="0" applyFont="1"/>
    <xf numFmtId="0" fontId="5" fillId="0" borderId="0" xfId="0" applyFont="1"/>
    <xf numFmtId="0" fontId="0" fillId="0" borderId="15" xfId="0" applyBorder="1"/>
    <xf numFmtId="0" fontId="0" fillId="0" borderId="17" xfId="0" applyBorder="1"/>
    <xf numFmtId="0" fontId="14" fillId="2" borderId="18" xfId="1" applyFont="1" applyFill="1" applyBorder="1" applyAlignment="1" applyProtection="1">
      <alignment horizontal="center" vertical="center" wrapText="1"/>
      <protection locked="0"/>
    </xf>
    <xf numFmtId="0" fontId="14" fillId="2" borderId="7" xfId="1" applyFont="1" applyFill="1" applyBorder="1" applyAlignment="1" applyProtection="1">
      <alignment horizontal="center" vertical="center" wrapText="1"/>
      <protection locked="0"/>
    </xf>
    <xf numFmtId="167" fontId="14" fillId="2" borderId="7" xfId="1" applyNumberFormat="1" applyFont="1" applyFill="1" applyBorder="1" applyAlignment="1" applyProtection="1">
      <alignment horizontal="center" vertical="center" wrapText="1"/>
      <protection locked="0"/>
    </xf>
    <xf numFmtId="9" fontId="14" fillId="2" borderId="1" xfId="5" applyFont="1" applyFill="1" applyBorder="1" applyAlignment="1" applyProtection="1">
      <alignment horizontal="center" vertical="center" wrapText="1"/>
      <protection locked="0"/>
    </xf>
    <xf numFmtId="168" fontId="14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3" fillId="0" borderId="4" xfId="5" applyFont="1" applyFill="1" applyBorder="1" applyAlignment="1" applyProtection="1">
      <alignment horizontal="center" vertical="center"/>
      <protection locked="0"/>
    </xf>
    <xf numFmtId="9" fontId="14" fillId="0" borderId="4" xfId="5" applyFont="1" applyFill="1" applyBorder="1" applyAlignment="1" applyProtection="1">
      <alignment horizontal="center" vertical="center"/>
      <protection locked="0"/>
    </xf>
    <xf numFmtId="0" fontId="3" fillId="2" borderId="19" xfId="1" applyFill="1" applyBorder="1" applyAlignment="1" applyProtection="1">
      <alignment vertical="center" wrapText="1"/>
      <protection locked="0"/>
    </xf>
    <xf numFmtId="0" fontId="3" fillId="2" borderId="7" xfId="1" applyFill="1" applyBorder="1" applyAlignment="1" applyProtection="1">
      <alignment horizontal="center" vertical="center" wrapText="1"/>
      <protection locked="0"/>
    </xf>
    <xf numFmtId="9" fontId="3" fillId="5" borderId="1" xfId="5" applyFont="1" applyFill="1" applyBorder="1" applyAlignment="1" applyProtection="1">
      <alignment horizontal="center" vertical="center"/>
      <protection locked="0"/>
    </xf>
    <xf numFmtId="9" fontId="14" fillId="5" borderId="1" xfId="5" applyFont="1" applyFill="1" applyBorder="1" applyAlignment="1" applyProtection="1">
      <alignment horizontal="center" vertical="center"/>
      <protection locked="0"/>
    </xf>
    <xf numFmtId="9" fontId="5" fillId="0" borderId="0" xfId="5" applyFont="1" applyBorder="1"/>
    <xf numFmtId="0" fontId="15" fillId="0" borderId="20" xfId="0" applyFont="1" applyBorder="1"/>
    <xf numFmtId="0" fontId="14" fillId="6" borderId="1" xfId="3" applyNumberFormat="1" applyFont="1" applyFill="1" applyBorder="1" applyAlignment="1" applyProtection="1">
      <alignment horizontal="center"/>
      <protection locked="0"/>
    </xf>
    <xf numFmtId="0" fontId="14" fillId="2" borderId="1" xfId="1" applyFont="1" applyFill="1" applyBorder="1" applyAlignment="1" applyProtection="1">
      <alignment horizontal="center" vertical="center" wrapText="1"/>
      <protection locked="0"/>
    </xf>
    <xf numFmtId="167" fontId="14" fillId="2" borderId="1" xfId="1" applyNumberFormat="1" applyFont="1" applyFill="1" applyBorder="1" applyAlignment="1" applyProtection="1">
      <alignment horizontal="center" vertical="center" wrapText="1"/>
      <protection locked="0"/>
    </xf>
    <xf numFmtId="168" fontId="3" fillId="0" borderId="4" xfId="4" applyNumberFormat="1" applyFont="1" applyFill="1" applyBorder="1" applyAlignment="1" applyProtection="1">
      <alignment horizontal="center" vertical="center"/>
      <protection locked="0"/>
    </xf>
    <xf numFmtId="168" fontId="14" fillId="0" borderId="4" xfId="4" applyNumberFormat="1" applyFont="1" applyFill="1" applyBorder="1" applyAlignment="1" applyProtection="1">
      <alignment horizontal="center" vertical="center"/>
      <protection locked="0"/>
    </xf>
    <xf numFmtId="0" fontId="3" fillId="2" borderId="21" xfId="1" applyFill="1" applyBorder="1" applyAlignment="1" applyProtection="1">
      <alignment vertical="center" wrapText="1"/>
      <protection locked="0"/>
    </xf>
    <xf numFmtId="0" fontId="3" fillId="2" borderId="22" xfId="1" applyFill="1" applyBorder="1" applyAlignment="1" applyProtection="1">
      <alignment horizontal="center" vertical="center" wrapText="1"/>
      <protection locked="0"/>
    </xf>
    <xf numFmtId="168" fontId="3" fillId="5" borderId="23" xfId="4" applyNumberFormat="1" applyFont="1" applyFill="1" applyBorder="1" applyAlignment="1" applyProtection="1">
      <alignment horizontal="center" vertical="center"/>
      <protection locked="0"/>
    </xf>
    <xf numFmtId="168" fontId="14" fillId="5" borderId="23" xfId="4" applyNumberFormat="1" applyFont="1" applyFill="1" applyBorder="1" applyAlignment="1" applyProtection="1">
      <alignment horizontal="center" vertical="center"/>
      <protection locked="0"/>
    </xf>
    <xf numFmtId="2" fontId="5" fillId="0" borderId="24" xfId="5" applyNumberFormat="1" applyFont="1" applyBorder="1"/>
    <xf numFmtId="0" fontId="0" fillId="0" borderId="24" xfId="0" applyBorder="1"/>
    <xf numFmtId="0" fontId="15" fillId="0" borderId="0" xfId="0" applyFont="1"/>
    <xf numFmtId="167" fontId="14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1" applyFill="1" applyBorder="1" applyAlignment="1" applyProtection="1">
      <alignment vertical="center" wrapText="1"/>
      <protection locked="0"/>
    </xf>
    <xf numFmtId="168" fontId="3" fillId="5" borderId="1" xfId="4" applyNumberFormat="1" applyFont="1" applyFill="1" applyBorder="1" applyAlignment="1" applyProtection="1">
      <alignment horizontal="center" vertical="center"/>
      <protection locked="0"/>
    </xf>
    <xf numFmtId="168" fontId="14" fillId="5" borderId="1" xfId="4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/>
    <xf numFmtId="0" fontId="16" fillId="0" borderId="0" xfId="0" applyFont="1"/>
    <xf numFmtId="0" fontId="9" fillId="0" borderId="25" xfId="0" applyFont="1" applyBorder="1" applyAlignment="1">
      <alignment wrapText="1"/>
    </xf>
    <xf numFmtId="0" fontId="9" fillId="0" borderId="0" xfId="0" applyFont="1" applyAlignment="1">
      <alignment horizontal="center" wrapText="1"/>
    </xf>
    <xf numFmtId="9" fontId="0" fillId="0" borderId="3" xfId="0" applyNumberFormat="1" applyBorder="1" applyAlignment="1">
      <alignment horizontal="center" vertical="top"/>
    </xf>
    <xf numFmtId="0" fontId="0" fillId="0" borderId="0" xfId="0" pivotButton="1" applyAlignment="1">
      <alignment horizontal="center" vertical="top" wrapText="1"/>
    </xf>
    <xf numFmtId="0" fontId="0" fillId="0" borderId="0" xfId="0" applyAlignment="1">
      <alignment horizontal="center" vertical="top"/>
    </xf>
    <xf numFmtId="169" fontId="0" fillId="0" borderId="1" xfId="0" applyNumberForma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/>
    </xf>
    <xf numFmtId="164" fontId="17" fillId="0" borderId="0" xfId="0" applyNumberFormat="1" applyFont="1" applyAlignment="1">
      <alignment horizontal="center" vertical="top"/>
    </xf>
    <xf numFmtId="164" fontId="0" fillId="0" borderId="3" xfId="0" applyNumberFormat="1" applyBorder="1" applyAlignment="1">
      <alignment horizontal="center" vertical="top"/>
    </xf>
    <xf numFmtId="0" fontId="0" fillId="0" borderId="0" xfId="0" pivotButton="1"/>
    <xf numFmtId="169" fontId="2" fillId="2" borderId="7" xfId="0" applyNumberFormat="1" applyFont="1" applyFill="1" applyBorder="1" applyAlignment="1">
      <alignment vertical="top" wrapText="1"/>
    </xf>
    <xf numFmtId="0" fontId="18" fillId="0" borderId="1" xfId="0" applyFont="1" applyBorder="1" applyAlignment="1">
      <alignment vertical="top"/>
    </xf>
    <xf numFmtId="9" fontId="18" fillId="0" borderId="1" xfId="5" applyFont="1" applyBorder="1" applyAlignment="1">
      <alignment horizontal="center" vertical="top"/>
    </xf>
    <xf numFmtId="164" fontId="18" fillId="0" borderId="1" xfId="5" applyNumberFormat="1" applyFont="1" applyBorder="1" applyAlignment="1">
      <alignment horizontal="center" vertical="top"/>
    </xf>
    <xf numFmtId="5" fontId="18" fillId="0" borderId="1" xfId="0" applyNumberFormat="1" applyFont="1" applyBorder="1" applyAlignment="1">
      <alignment horizontal="center" vertical="top"/>
    </xf>
    <xf numFmtId="5" fontId="19" fillId="0" borderId="1" xfId="0" applyNumberFormat="1" applyFont="1" applyBorder="1" applyAlignment="1">
      <alignment horizontal="center" vertical="top"/>
    </xf>
    <xf numFmtId="169" fontId="18" fillId="0" borderId="1" xfId="0" applyNumberFormat="1" applyFont="1" applyBorder="1" applyAlignment="1">
      <alignment horizontal="center" vertical="top"/>
    </xf>
    <xf numFmtId="5" fontId="18" fillId="0" borderId="2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vertical="top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horizontal="center" vertical="top"/>
    </xf>
    <xf numFmtId="164" fontId="4" fillId="0" borderId="3" xfId="0" applyNumberFormat="1" applyFont="1" applyBorder="1" applyAlignment="1">
      <alignment horizontal="center" vertical="top"/>
    </xf>
    <xf numFmtId="0" fontId="2" fillId="0" borderId="3" xfId="0" applyFont="1" applyBorder="1"/>
    <xf numFmtId="0" fontId="2" fillId="0" borderId="9" xfId="0" applyFont="1" applyBorder="1"/>
    <xf numFmtId="9" fontId="0" fillId="0" borderId="0" xfId="0" applyNumberFormat="1" applyAlignment="1">
      <alignment horizontal="left" indent="1"/>
    </xf>
    <xf numFmtId="164" fontId="5" fillId="0" borderId="0" xfId="0" applyNumberFormat="1" applyFont="1" applyAlignment="1">
      <alignment horizontal="center" vertical="top"/>
    </xf>
    <xf numFmtId="0" fontId="14" fillId="3" borderId="14" xfId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4" fillId="3" borderId="19" xfId="1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4" fillId="3" borderId="2" xfId="1" applyFont="1" applyFill="1" applyBorder="1" applyAlignment="1" applyProtection="1">
      <alignment horizontal="center" vertical="center" wrapText="1"/>
      <protection locked="0"/>
    </xf>
  </cellXfs>
  <cellStyles count="6">
    <cellStyle name="Обычный" xfId="0" builtinId="0"/>
    <cellStyle name="Обычный 3" xfId="1" xr:uid="{7F815BFC-AAAE-45B9-8CC6-85B937ACBF7E}"/>
    <cellStyle name="Обычный 5 2 2" xfId="2" xr:uid="{600EE796-72BE-4F0A-A9D1-13AAB2C6F4D0}"/>
    <cellStyle name="Процентный" xfId="5" builtinId="5"/>
    <cellStyle name="Процентный 2 2" xfId="3" xr:uid="{A6100430-0818-48D6-B7DC-26583D1964FE}"/>
    <cellStyle name="Финансовый" xfId="4" builtinId="3"/>
  </cellStyles>
  <dxfs count="92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minor"/>
      </font>
      <numFmt numFmtId="169" formatCode="[$-419]mmmm\ yyyy;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minor"/>
      </font>
      <numFmt numFmtId="169" formatCode="[$-419]mmmm\ yyyy;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charset val="204"/>
        <scheme val="minor"/>
      </font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charset val="204"/>
        <scheme val="minor"/>
      </font>
      <numFmt numFmtId="9" formatCode="#,##0\ &quot;₽&quot;;\-#,##0\ &quot;₽&quot;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9" formatCode="#,##0\ &quot;₽&quot;;\-#,##0\ &quot;₽&quot;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9" formatCode="#,##0\ &quot;₽&quot;;\-#,##0\ &quot;₽&quot;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169" formatCode="[$-419]mmmm\ yyyy;@"/>
      <fill>
        <patternFill patternType="solid">
          <fgColor indexed="64"/>
          <bgColor theme="0" tint="-0.1499984740745262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#,##0\ _₽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\ _₽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[$-419]mmmm\ yyyy;@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\ _₽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[$-419]mmmm\ yyyy;@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#,##0\ &quot;₽&quot;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#,##0\ &quot;₽&quot;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₽&quot;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3" formatCode="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3" formatCode="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rgb="FF172B4D"/>
        <name val="Calibri"/>
        <family val="2"/>
        <charset val="204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alignment horizontal="center"/>
    </dxf>
    <dxf>
      <alignment vertical="top"/>
    </dxf>
    <dxf>
      <numFmt numFmtId="164" formatCode="#,##0.00\ &quot;₽&quot;"/>
    </dxf>
    <dxf>
      <font>
        <color rgb="FF00B050"/>
      </font>
    </dxf>
    <dxf>
      <alignment horizontal="center"/>
    </dxf>
    <dxf>
      <alignment vertical="top"/>
    </dxf>
    <dxf>
      <alignment wrapText="1"/>
    </dxf>
    <dxf>
      <alignment wrapText="1"/>
    </dxf>
    <dxf>
      <alignment horizontal="center"/>
    </dxf>
    <dxf>
      <alignment vertical="top"/>
    </dxf>
    <dxf>
      <alignment horizontal="center"/>
    </dxf>
    <dxf>
      <alignment vertical="top"/>
    </dxf>
  </dxfs>
  <tableStyles count="1" defaultTableStyle="TableStyleMedium2" defaultPivotStyle="PivotStyleLight16">
    <tableStyle name="Invisible" pivot="0" table="0" count="0" xr9:uid="{372BA71D-6212-46C9-BDD8-73776C0A5532}"/>
  </tableStyles>
  <colors>
    <mruColors>
      <color rgb="FF172B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548640</xdr:colOff>
      <xdr:row>0</xdr:row>
      <xdr:rowOff>121921</xdr:rowOff>
    </xdr:from>
    <xdr:to>
      <xdr:col>4</xdr:col>
      <xdr:colOff>1163955</xdr:colOff>
      <xdr:row>6</xdr:row>
      <xdr:rowOff>121920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Специалист">
              <a:extLst>
                <a:ext uri="{FF2B5EF4-FFF2-40B4-BE49-F238E27FC236}">
                  <a16:creationId xmlns:a16="http://schemas.microsoft.com/office/drawing/2014/main" id="{F3C97756-CBA0-047D-40A2-056B0A908A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пециалис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" y="121921"/>
              <a:ext cx="4564380" cy="1097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1575435</xdr:colOff>
      <xdr:row>0</xdr:row>
      <xdr:rowOff>121921</xdr:rowOff>
    </xdr:from>
    <xdr:to>
      <xdr:col>8</xdr:col>
      <xdr:colOff>996315</xdr:colOff>
      <xdr:row>8</xdr:row>
      <xdr:rowOff>60961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Месяц выполнения работ">
              <a:extLst>
                <a:ext uri="{FF2B5EF4-FFF2-40B4-BE49-F238E27FC236}">
                  <a16:creationId xmlns:a16="http://schemas.microsoft.com/office/drawing/2014/main" id="{8899F81C-4784-9F53-3A24-DFE4D02C82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выполнения рабо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0" y="121921"/>
              <a:ext cx="3794760" cy="1402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1400174</xdr:colOff>
      <xdr:row>4</xdr:row>
      <xdr:rowOff>161926</xdr:rowOff>
    </xdr:from>
    <xdr:to>
      <xdr:col>6</xdr:col>
      <xdr:colOff>304799</xdr:colOff>
      <xdr:row>9</xdr:row>
      <xdr:rowOff>85726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Подрядчик">
              <a:extLst>
                <a:ext uri="{FF2B5EF4-FFF2-40B4-BE49-F238E27FC236}">
                  <a16:creationId xmlns:a16="http://schemas.microsoft.com/office/drawing/2014/main" id="{CC271EFA-75C4-4F48-A649-982561765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дрядчи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49" y="923926"/>
              <a:ext cx="4276725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adchaya Eliz" refreshedDate="46008.658951273152" createdVersion="8" refreshedVersion="7" minRefreshableVersion="3" recordCount="27" xr:uid="{4D62722B-D184-425E-93F0-239B01358F13}">
  <cacheSource type="worksheet">
    <worksheetSource name="Таблица1"/>
  </cacheSource>
  <cacheFields count="20">
    <cacheField name="Месяц выполнения работ" numFmtId="17">
      <sharedItems containsSemiMixedTypes="0" containsNonDate="0" containsDate="1" containsString="0" minDate="2024-12-01T00:00:00" maxDate="2026-03-02T00:00:00" count="16"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3-01T00:00:00" u="1"/>
        <d v="2026-02-01T00:00:00" u="1"/>
        <d v="2026-01-01T00:00:00" u="1"/>
      </sharedItems>
      <fieldGroup par="19"/>
    </cacheField>
    <cacheField name="Специалист" numFmtId="0">
      <sharedItems count="5">
        <s v="Захаров Юрий"/>
        <s v="Толстоусова Ольга"/>
        <s v="Карпов Алексей"/>
        <s v="Черепанов Валерий"/>
        <s v="Сазонов Павел"/>
      </sharedItems>
    </cacheField>
    <cacheField name="Форма контрактации" numFmtId="0">
      <sharedItems count="3">
        <s v="СМЗ"/>
        <s v="ГПХ"/>
        <s v="ИП"/>
      </sharedItems>
    </cacheField>
    <cacheField name="Ставка НДС" numFmtId="9">
      <sharedItems containsSemiMixedTypes="0" containsString="0" containsNumber="1" containsInteger="1" minValue="0" maxValue="0"/>
    </cacheField>
    <cacheField name="Роль" numFmtId="0">
      <sharedItems/>
    </cacheField>
    <cacheField name="Загрузка респлан" numFmtId="9">
      <sharedItems containsSemiMixedTypes="0" containsString="0" containsNumber="1" minValue="0" maxValue="0.85"/>
    </cacheField>
    <cacheField name="Часы _x000a_ПЛАН" numFmtId="0">
      <sharedItems containsSemiMixedTypes="0" containsString="0" containsNumber="1" containsInteger="1" minValue="0" maxValue="128"/>
    </cacheField>
    <cacheField name="Часы _x000a_ФАКТ" numFmtId="0">
      <sharedItems containsString="0" containsBlank="1" containsNumber="1" minValue="0" maxValue="128"/>
    </cacheField>
    <cacheField name="Ставка Gross" numFmtId="164">
      <sharedItems containsString="0" containsBlank="1" containsNumber="1" minValue="2127.66" maxValue="3600"/>
    </cacheField>
    <cacheField name="Итого без овертаймов" numFmtId="165">
      <sharedItems containsSemiMixedTypes="0" containsString="0" containsNumber="1" containsInteger="1" minValue="0" maxValue="400640"/>
    </cacheField>
    <cacheField name="Заложено в ФП" numFmtId="165">
      <sharedItems containsString="0" containsBlank="1" containsNumber="1" containsInteger="1" minValue="0" maxValue="525840"/>
    </cacheField>
    <cacheField name="Сумма изменений" numFmtId="164">
      <sharedItems containsSemiMixedTypes="0" containsString="0" containsNumber="1" containsInteger="1" minValue="-525840" maxValue="400640"/>
    </cacheField>
    <cacheField name="Страховые взносы 7,8%" numFmtId="164">
      <sharedItems containsMixedTypes="1" containsNumber="1" minValue="0" maxValue="25745"/>
    </cacheField>
    <cacheField name="Итого со страховыми" numFmtId="164">
      <sharedItems containsSemiMixedTypes="0" containsString="0" containsNumber="1" containsInteger="1" minValue="0" maxValue="400640"/>
    </cacheField>
    <cacheField name="Прогнозный месяц подписания Акта" numFmtId="169">
      <sharedItems containsNonDate="0" containsDate="1" containsString="0" containsBlank="1" minDate="2025-01-01T00:00:00" maxDate="2026-01-02T00:00:00"/>
    </cacheField>
    <cacheField name="Прогнозный срок выплат" numFmtId="169">
      <sharedItems containsNonDate="0" containsDate="1" containsString="0" containsBlank="1" minDate="2025-01-01T00:00:00" maxDate="2026-01-02T00:00:00"/>
    </cacheField>
    <cacheField name="Комментарий" numFmtId="0">
      <sharedItems containsBlank="1"/>
    </cacheField>
    <cacheField name="Месяцы (Месяц выполнения работ)" numFmtId="0" databaseField="0">
      <fieldGroup base="0">
        <rangePr groupBy="months" startDate="2024-12-01T00:00:00" endDate="2025-12-02T00:00:00"/>
        <groupItems count="14">
          <s v="&lt;01.12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12.2025"/>
        </groupItems>
      </fieldGroup>
    </cacheField>
    <cacheField name="Кварталы (Месяц выполнения работ)" numFmtId="0" databaseField="0">
      <fieldGroup base="0">
        <rangePr groupBy="quarters" startDate="2024-12-01T00:00:00" endDate="2025-12-02T00:00:00"/>
        <groupItems count="6">
          <s v="&lt;01.12.2024"/>
          <s v="Кв-л1"/>
          <s v="Кв-л2"/>
          <s v="Кв-л3"/>
          <s v="Кв-л4"/>
          <s v="&gt;02.12.2025"/>
        </groupItems>
      </fieldGroup>
    </cacheField>
    <cacheField name="Годы (Месяц выполнения работ)" numFmtId="0" databaseField="0">
      <fieldGroup base="0">
        <rangePr groupBy="years" startDate="2024-12-01T00:00:00" endDate="2025-12-02T00:00:00"/>
        <groupItems count="4">
          <s v="&lt;01.12.2024"/>
          <s v="2024"/>
          <s v="2025"/>
          <s v="&gt;02.1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adchaya Eliz" refreshedDate="46008.674659606484" createdVersion="7" refreshedVersion="7" minRefreshableVersion="3" recordCount="2" xr:uid="{FEFE292C-79EC-44BE-A58C-BBA7508FD420}">
  <cacheSource type="worksheet">
    <worksheetSource name="Таблица2"/>
  </cacheSource>
  <cacheFields count="12">
    <cacheField name="Месяц выполнения работ" numFmtId="169">
      <sharedItems containsSemiMixedTypes="0" containsNonDate="0" containsDate="1" containsString="0" minDate="2025-12-01T00:00:00" maxDate="2026-05-02T00:00:00" count="2">
        <d v="2025-12-01T00:00:00"/>
        <d v="2026-05-01T00:00:00"/>
      </sharedItems>
      <fieldGroup par="11" base="0">
        <rangePr groupBy="months" startDate="2025-12-01T00:00:00" endDate="2026-05-02T00:00:00"/>
        <groupItems count="14">
          <s v="&lt;01.12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5.2026"/>
        </groupItems>
      </fieldGroup>
    </cacheField>
    <cacheField name="Подрядчик" numFmtId="0">
      <sharedItems count="2">
        <s v="ООО &quot;Исходный код&quot;"/>
        <s v="МТИ"/>
      </sharedItems>
    </cacheField>
    <cacheField name="Ставка НДС" numFmtId="9">
      <sharedItems containsSemiMixedTypes="0" containsString="0" containsNumber="1" minValue="0.2" maxValue="0.22" count="2">
        <n v="0.2"/>
        <n v="0.22"/>
      </sharedItems>
    </cacheField>
    <cacheField name="Итого за период _x000a_без НДС" numFmtId="164">
      <sharedItems containsSemiMixedTypes="0" containsString="0" containsNumber="1" containsInteger="1" minValue="8970462" maxValue="37500000" count="2">
        <n v="37500000"/>
        <n v="8970462"/>
      </sharedItems>
    </cacheField>
    <cacheField name="Итого за период _x000a_с НДС" numFmtId="5">
      <sharedItems containsSemiMixedTypes="0" containsString="0" containsNumber="1" minValue="10943963.640000001" maxValue="45000000"/>
    </cacheField>
    <cacheField name="Заложено в ФП с НДС" numFmtId="5">
      <sharedItems containsSemiMixedTypes="0" containsString="0" containsNumber="1" minValue="0" maxValue="10943963.640000001"/>
    </cacheField>
    <cacheField name="Сумма изменений с НДС" numFmtId="5">
      <sharedItems containsSemiMixedTypes="0" containsString="0" containsNumber="1" containsInteger="1" minValue="0" maxValue="45000000"/>
    </cacheField>
    <cacheField name="Прогнозный месяц подписания Акта" numFmtId="169">
      <sharedItems containsSemiMixedTypes="0" containsNonDate="0" containsDate="1" containsString="0" minDate="2025-12-01T00:00:00" maxDate="2026-05-02T00:00:00"/>
    </cacheField>
    <cacheField name="Прогнозный месяц выплат" numFmtId="169">
      <sharedItems containsSemiMixedTypes="0" containsNonDate="0" containsDate="1" containsString="0" minDate="2025-12-01T00:00:00" maxDate="2026-05-02T00:00:00"/>
    </cacheField>
    <cacheField name="Комментарий" numFmtId="5">
      <sharedItems containsNonDate="0" containsString="0" containsBlank="1"/>
    </cacheField>
    <cacheField name="Кварталы" numFmtId="0" databaseField="0">
      <fieldGroup base="0">
        <rangePr groupBy="quarters" startDate="2025-12-01T00:00:00" endDate="2026-05-02T00:00:00"/>
        <groupItems count="6">
          <s v="&lt;01.12.2025"/>
          <s v="Кв-л1"/>
          <s v="Кв-л2"/>
          <s v="Кв-л3"/>
          <s v="Кв-л4"/>
          <s v="&gt;02.05.2026"/>
        </groupItems>
      </fieldGroup>
    </cacheField>
    <cacheField name="Годы" numFmtId="0" databaseField="0">
      <fieldGroup base="0">
        <rangePr groupBy="years" startDate="2025-12-01T00:00:00" endDate="2026-05-02T00:00:00"/>
        <groupItems count="4">
          <s v="&lt;01.12.2025"/>
          <s v="2025"/>
          <s v="2026"/>
          <s v="&gt;02.05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n v="0"/>
    <s v="Senior разработчик БД"/>
    <n v="0.24"/>
    <n v="40"/>
    <n v="40.33"/>
    <n v="2127.66"/>
    <n v="85809"/>
    <n v="85809"/>
    <n v="0"/>
    <s v="0"/>
    <n v="85809"/>
    <d v="2025-01-01T00:00:00"/>
    <d v="2025-01-01T00:00:00"/>
    <s v="оплачено 31.01.2025"/>
  </r>
  <r>
    <x v="1"/>
    <x v="0"/>
    <x v="0"/>
    <n v="0"/>
    <s v="Senior разработчик БД"/>
    <n v="0.22"/>
    <n v="30"/>
    <n v="30"/>
    <n v="2127.66"/>
    <n v="63830"/>
    <n v="63830"/>
    <n v="0"/>
    <s v="0"/>
    <n v="63830"/>
    <d v="2025-03-01T00:00:00"/>
    <d v="2025-03-01T00:00:00"/>
    <s v="оплачено в марте 2025"/>
  </r>
  <r>
    <x v="2"/>
    <x v="0"/>
    <x v="0"/>
    <n v="0"/>
    <s v="Senior разработчик БД"/>
    <n v="0.5"/>
    <n v="80"/>
    <n v="80"/>
    <n v="2127.66"/>
    <n v="170213"/>
    <n v="170213"/>
    <n v="0"/>
    <s v="0"/>
    <n v="170213"/>
    <d v="2025-04-01T00:00:00"/>
    <d v="2025-05-01T00:00:00"/>
    <s v="оплачено 13.05.2025"/>
  </r>
  <r>
    <x v="3"/>
    <x v="0"/>
    <x v="0"/>
    <n v="0"/>
    <s v="Senior разработчик БД"/>
    <n v="0.49"/>
    <n v="82"/>
    <n v="81"/>
    <n v="2127.66"/>
    <n v="172340"/>
    <n v="172340"/>
    <n v="0"/>
    <s v="0"/>
    <n v="172340"/>
    <d v="2025-04-01T00:00:00"/>
    <d v="2025-05-01T00:00:00"/>
    <s v="оплачено 13.05.2025"/>
  </r>
  <r>
    <x v="4"/>
    <x v="0"/>
    <x v="0"/>
    <n v="0"/>
    <s v="Senior разработчик БД"/>
    <n v="0.3"/>
    <n v="53"/>
    <n v="52"/>
    <n v="2127.66"/>
    <n v="110638"/>
    <n v="110638"/>
    <n v="0"/>
    <s v="0"/>
    <n v="110638"/>
    <d v="2025-05-01T00:00:00"/>
    <d v="2025-06-01T00:00:00"/>
    <s v="оплачено 10.06.2025"/>
  </r>
  <r>
    <x v="5"/>
    <x v="0"/>
    <x v="0"/>
    <n v="0"/>
    <s v="Senior разработчик БД"/>
    <n v="0.38"/>
    <n v="55"/>
    <n v="54"/>
    <n v="2127.66"/>
    <n v="114894"/>
    <n v="114894"/>
    <n v="0"/>
    <s v="0"/>
    <n v="114894"/>
    <d v="2025-05-01T00:00:00"/>
    <d v="2025-06-01T00:00:00"/>
    <s v="оплачено 10.06.2025"/>
  </r>
  <r>
    <x v="6"/>
    <x v="0"/>
    <x v="0"/>
    <n v="0"/>
    <s v="Senior разработчик БД"/>
    <n v="0.41"/>
    <n v="62"/>
    <n v="62"/>
    <n v="2127.66"/>
    <n v="131915"/>
    <n v="131915"/>
    <n v="0"/>
    <s v="0"/>
    <n v="131915"/>
    <d v="2025-08-01T00:00:00"/>
    <d v="2025-08-01T00:00:00"/>
    <s v="оплачено 14.08.2025"/>
  </r>
  <r>
    <x v="7"/>
    <x v="0"/>
    <x v="0"/>
    <n v="0"/>
    <s v="Senior разработчик БД"/>
    <n v="0.1"/>
    <n v="18"/>
    <n v="18"/>
    <n v="2127.66"/>
    <n v="38298"/>
    <n v="38298"/>
    <n v="0"/>
    <s v="0"/>
    <n v="38298"/>
    <d v="2025-08-01T00:00:00"/>
    <d v="2025-08-01T00:00:00"/>
    <s v="оплачено 14.08.2025"/>
  </r>
  <r>
    <x v="8"/>
    <x v="0"/>
    <x v="0"/>
    <n v="0"/>
    <s v="Senior разработчик БД"/>
    <n v="0.08"/>
    <n v="13"/>
    <n v="14"/>
    <n v="2127.66"/>
    <n v="29787"/>
    <n v="29787"/>
    <n v="0"/>
    <s v="0"/>
    <n v="29787"/>
    <d v="2025-09-01T00:00:00"/>
    <d v="2025-09-01T00:00:00"/>
    <s v="оплачено 18.09.2025"/>
  </r>
  <r>
    <x v="9"/>
    <x v="0"/>
    <x v="0"/>
    <n v="0"/>
    <s v="Senior разработчик БД"/>
    <n v="7.0000000000000007E-2"/>
    <n v="12"/>
    <n v="12"/>
    <n v="2127.66"/>
    <n v="25532"/>
    <n v="25532"/>
    <n v="0"/>
    <s v="0"/>
    <n v="25532"/>
    <d v="2025-10-01T00:00:00"/>
    <d v="2025-10-01T00:00:00"/>
    <s v="оплачено 23.10.2025"/>
  </r>
  <r>
    <x v="10"/>
    <x v="0"/>
    <x v="0"/>
    <n v="0"/>
    <s v="Senior разработчик БД"/>
    <n v="0.27"/>
    <n v="50"/>
    <n v="49"/>
    <n v="2127.66"/>
    <n v="104255"/>
    <m/>
    <n v="104255"/>
    <s v="0"/>
    <n v="104255"/>
    <d v="2025-11-01T00:00:00"/>
    <d v="2025-11-01T00:00:00"/>
    <s v="оплачено 20.11.2025"/>
  </r>
  <r>
    <x v="11"/>
    <x v="0"/>
    <x v="0"/>
    <n v="0"/>
    <s v="Senior разработчик БД"/>
    <n v="0.31"/>
    <n v="47"/>
    <n v="47"/>
    <n v="2127.66"/>
    <n v="100000"/>
    <n v="104255"/>
    <n v="-4255"/>
    <s v="0"/>
    <n v="100000"/>
    <d v="2025-12-01T00:00:00"/>
    <d v="2025-12-01T00:00:00"/>
    <m/>
  </r>
  <r>
    <x v="12"/>
    <x v="0"/>
    <x v="0"/>
    <n v="0"/>
    <s v="Senior разработчик БД"/>
    <n v="0.34"/>
    <n v="60"/>
    <m/>
    <n v="2127.66"/>
    <n v="127660"/>
    <n v="253192"/>
    <n v="-125532"/>
    <s v="0"/>
    <n v="127660"/>
    <d v="2026-01-01T00:00:00"/>
    <d v="2026-01-01T00:00:00"/>
    <m/>
  </r>
  <r>
    <x v="6"/>
    <x v="1"/>
    <x v="1"/>
    <n v="0"/>
    <s v="Senior Аналитик"/>
    <n v="0.69"/>
    <n v="104"/>
    <n v="104"/>
    <n v="2710"/>
    <n v="281840"/>
    <n v="0"/>
    <n v="303260"/>
    <n v="21419.84"/>
    <n v="303260"/>
    <d v="2025-08-01T00:00:00"/>
    <d v="2025-08-01T00:00:00"/>
    <s v="оплачено 14.08.2025"/>
  </r>
  <r>
    <x v="7"/>
    <x v="1"/>
    <x v="1"/>
    <n v="0"/>
    <s v="Senior Аналитик"/>
    <n v="0.3"/>
    <n v="55"/>
    <n v="56"/>
    <n v="2710"/>
    <n v="151760"/>
    <n v="0"/>
    <n v="163294"/>
    <n v="11533.76"/>
    <n v="163294"/>
    <d v="2025-08-01T00:00:00"/>
    <d v="2025-08-01T00:00:00"/>
    <s v="оплачено 14.08.2025"/>
  </r>
  <r>
    <x v="8"/>
    <x v="1"/>
    <x v="1"/>
    <n v="0"/>
    <s v="Senior Аналитик"/>
    <n v="0.34"/>
    <n v="57"/>
    <n v="57"/>
    <n v="2710"/>
    <n v="154470"/>
    <n v="466554"/>
    <n v="-300344"/>
    <n v="11739.72"/>
    <n v="166210"/>
    <d v="2025-09-01T00:00:00"/>
    <d v="2025-09-01T00:00:00"/>
    <s v="оплачено 30.09.2025"/>
  </r>
  <r>
    <x v="9"/>
    <x v="1"/>
    <x v="1"/>
    <n v="0"/>
    <s v="Senior Аналитик"/>
    <n v="0.71"/>
    <n v="125"/>
    <n v="125"/>
    <n v="2710"/>
    <n v="338750"/>
    <n v="166210"/>
    <n v="198285"/>
    <n v="25745"/>
    <n v="364495"/>
    <d v="2025-10-01T00:00:00"/>
    <d v="2025-10-01T00:00:00"/>
    <s v="оплачено 09.10.2025"/>
  </r>
  <r>
    <x v="10"/>
    <x v="1"/>
    <x v="1"/>
    <n v="0"/>
    <s v="Senior Аналитик"/>
    <n v="0"/>
    <n v="0"/>
    <n v="0"/>
    <n v="2710"/>
    <n v="0"/>
    <n v="364495"/>
    <n v="-364495"/>
    <n v="0"/>
    <n v="0"/>
    <m/>
    <m/>
    <s v="договор подряда закончен"/>
  </r>
  <r>
    <x v="5"/>
    <x v="2"/>
    <x v="0"/>
    <n v="0"/>
    <s v="Senior Архитектор решений"/>
    <n v="0.17"/>
    <n v="24"/>
    <n v="24"/>
    <n v="3600"/>
    <n v="86400"/>
    <n v="0"/>
    <n v="86400"/>
    <s v="0"/>
    <n v="86400"/>
    <d v="2025-07-01T00:00:00"/>
    <d v="2025-08-01T00:00:00"/>
    <s v="оплачено 12.08.2025"/>
  </r>
  <r>
    <x v="6"/>
    <x v="2"/>
    <x v="0"/>
    <n v="0"/>
    <s v="Senior Архитектор решений"/>
    <n v="0.56000000000000005"/>
    <n v="85"/>
    <n v="84"/>
    <n v="3600"/>
    <n v="302400"/>
    <n v="0"/>
    <n v="302400"/>
    <s v="0"/>
    <n v="302400"/>
    <d v="2025-07-01T00:00:00"/>
    <d v="2025-08-01T00:00:00"/>
    <s v="оплачено 12.08.2025"/>
  </r>
  <r>
    <x v="8"/>
    <x v="2"/>
    <x v="0"/>
    <n v="0"/>
    <s v="Senior Архитектор решений"/>
    <n v="0.5"/>
    <n v="84"/>
    <n v="84"/>
    <n v="3600"/>
    <n v="302400"/>
    <n v="388800"/>
    <n v="-86400"/>
    <s v="0"/>
    <n v="302400"/>
    <d v="2025-10-01T00:00:00"/>
    <d v="2025-10-01T00:00:00"/>
    <s v="оплачено 28.10.2025"/>
  </r>
  <r>
    <x v="10"/>
    <x v="2"/>
    <x v="0"/>
    <n v="0"/>
    <s v="Senior Архитектор решений"/>
    <n v="0"/>
    <n v="0"/>
    <n v="0"/>
    <n v="3600"/>
    <n v="0"/>
    <n v="302400"/>
    <n v="-302400"/>
    <s v="0"/>
    <n v="0"/>
    <m/>
    <m/>
    <m/>
  </r>
  <r>
    <x v="5"/>
    <x v="3"/>
    <x v="0"/>
    <n v="0"/>
    <s v="Senior C++"/>
    <n v="0.28000000000000003"/>
    <n v="40"/>
    <n v="40"/>
    <n v="3130"/>
    <n v="125200"/>
    <n v="0"/>
    <n v="125200"/>
    <s v="0"/>
    <n v="125200"/>
    <d v="2025-07-01T00:00:00"/>
    <d v="2025-07-01T00:00:00"/>
    <s v="оплачено 31.07.2025"/>
  </r>
  <r>
    <x v="6"/>
    <x v="3"/>
    <x v="0"/>
    <n v="0"/>
    <s v="Senior C++"/>
    <n v="0.85"/>
    <n v="128"/>
    <n v="128"/>
    <n v="3130"/>
    <n v="400640"/>
    <n v="0"/>
    <n v="400640"/>
    <s v="0"/>
    <n v="400640"/>
    <d v="2025-07-01T00:00:00"/>
    <d v="2025-07-01T00:00:00"/>
    <s v="оплачено 31.07.2025"/>
  </r>
  <r>
    <x v="7"/>
    <x v="3"/>
    <x v="0"/>
    <n v="0"/>
    <s v="Senior C++"/>
    <n v="0"/>
    <n v="0"/>
    <m/>
    <m/>
    <n v="0"/>
    <n v="525840"/>
    <n v="-525840"/>
    <s v="0"/>
    <n v="0"/>
    <m/>
    <m/>
    <m/>
  </r>
  <r>
    <x v="6"/>
    <x v="4"/>
    <x v="2"/>
    <n v="0"/>
    <s v="Senior DevOps"/>
    <n v="0.34"/>
    <n v="51"/>
    <n v="52"/>
    <n v="2500"/>
    <n v="130000"/>
    <n v="0"/>
    <n v="130000"/>
    <s v="0"/>
    <n v="130000"/>
    <d v="2025-07-01T00:00:00"/>
    <d v="2025-08-01T00:00:00"/>
    <s v="оплачено 14.08.2025"/>
  </r>
  <r>
    <x v="8"/>
    <x v="4"/>
    <x v="2"/>
    <n v="0"/>
    <s v="Senior DevOps"/>
    <n v="0"/>
    <n v="0"/>
    <n v="0"/>
    <n v="2500"/>
    <n v="0"/>
    <n v="130000"/>
    <n v="-130000"/>
    <s v="0"/>
    <n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  <x v="0"/>
    <n v="45000000"/>
    <n v="0"/>
    <n v="45000000"/>
    <d v="2025-12-01T00:00:00"/>
    <d v="2025-12-01T00:00:00"/>
    <m/>
  </r>
  <r>
    <x v="1"/>
    <x v="1"/>
    <x v="1"/>
    <x v="1"/>
    <n v="10943963.640000001"/>
    <n v="10943963.640000001"/>
    <n v="0"/>
    <d v="2026-05-01T00:00:00"/>
    <d v="2026-05-0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125F5-82B0-4EE6-BF29-8E75D462E029}" name="Сводная таблица1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">
  <location ref="A15:E20" firstHeaderRow="0" firstDataRow="1" firstDataCol="1"/>
  <pivotFields count="12">
    <pivotField numFmtId="169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2">
        <item x="1"/>
        <item x="0"/>
      </items>
    </pivotField>
    <pivotField axis="axisRow" numFmtId="9" showAll="0" defaultSubtotal="0">
      <items count="2">
        <item x="0"/>
        <item x="1"/>
      </items>
    </pivotField>
    <pivotField dataField="1" numFmtId="164" showAll="0" defaultSubtotal="0">
      <items count="2">
        <item x="1"/>
        <item x="0"/>
      </items>
    </pivotField>
    <pivotField dataField="1" numFmtId="5" showAll="0" defaultSubtotal="0"/>
    <pivotField dataField="1" numFmtId="5" showAll="0" defaultSubtotal="0"/>
    <pivotField dataField="1" numFmtId="5" showAll="0" defaultSubtotal="0"/>
    <pivotField numFmtId="169" showAll="0" defaultSubtotal="0"/>
    <pivotField numFmtId="169" showAll="0" defaultSubtotal="0"/>
    <pivotField showAll="0" defaultSubtotal="0"/>
    <pivotField subtotalTop="0" showAll="0" defaultSubtotal="0">
      <items count="6">
        <item x="0"/>
        <item x="1"/>
        <item x="2"/>
        <item x="3"/>
        <item x="4"/>
        <item x="5"/>
      </items>
    </pivotField>
    <pivotField subtotalTop="0" showAll="0" defaultSubtotal="0">
      <items count="4">
        <item x="0"/>
        <item x="1"/>
        <item x="2"/>
        <item x="3"/>
      </items>
    </pivotField>
  </pivotFields>
  <rowFields count="2">
    <field x="1"/>
    <field x="2"/>
  </rowFields>
  <rowItems count="5">
    <i>
      <x/>
    </i>
    <i r="1">
      <x v="1"/>
    </i>
    <i>
      <x v="1"/>
    </i>
    <i r="1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Итого_за_период _x000a_без_НДС" fld="3" baseField="0" baseItem="0"/>
    <dataField name="Итого_за_период _с_НДС" fld="4" baseField="0" baseItem="0"/>
    <dataField name="Заложено_в_ФП_с_НДС" fld="5" baseField="0" baseItem="0"/>
    <dataField name="Сумма_изменений_с_НДС" fld="6" baseField="0" baseItem="0"/>
  </dataFields>
  <formats count="4"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3D037-D076-4CB5-AC36-108D6D67A621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8" indent="0" outline="1" outlineData="1" multipleFieldFilters="0" rowHeaderCaption="">
  <location ref="A3:E12" firstHeaderRow="0" firstDataRow="1" firstDataCol="1"/>
  <pivotFields count="20">
    <pivotField numFmtId="17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15"/>
        <item m="1" x="14"/>
        <item m="1" x="13"/>
      </items>
    </pivotField>
    <pivotField axis="axisRow" showAll="0" defaultSubtotal="0">
      <items count="5">
        <item x="0"/>
        <item x="2"/>
        <item x="4"/>
        <item x="1"/>
        <item x="3"/>
      </items>
    </pivotField>
    <pivotField axis="axisRow" showAll="0" defaultSubtotal="0">
      <items count="3">
        <item x="1"/>
        <item x="2"/>
        <item x="0"/>
      </items>
    </pivotField>
    <pivotField numFmtId="9" showAll="0" defaultSubtotal="0"/>
    <pivotField showAll="0" defaultSubtotal="0"/>
    <pivotField numFmtId="9" showAll="0" defaultSubtotal="0"/>
    <pivotField showAll="0" defaultSubtotal="0"/>
    <pivotField showAll="0" defaultSubtotal="0"/>
    <pivotField numFmtId="164" showAll="0" defaultSubtotal="0"/>
    <pivotField dataField="1" numFmtId="165" showAll="0" defaultSubtotal="0"/>
    <pivotField dataField="1" numFmtId="165" showAll="0" defaultSubtotal="0"/>
    <pivotField dataField="1" numFmtId="164" showAll="0" defaultSubtotal="0"/>
    <pivotField showAll="0" defaultSubtotal="0"/>
    <pivotField dataField="1" numFmtId="16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2"/>
    <field x="1"/>
  </rowFields>
  <rowItems count="9">
    <i>
      <x/>
    </i>
    <i r="1">
      <x v="3"/>
    </i>
    <i>
      <x v="1"/>
    </i>
    <i r="1">
      <x v="2"/>
    </i>
    <i>
      <x v="2"/>
    </i>
    <i r="1">
      <x/>
    </i>
    <i r="1">
      <x v="1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Итого_без_овертаймов" fld="9" baseField="0" baseItem="0" numFmtId="165"/>
    <dataField name="Заложено_в_ФП" fld="10" baseField="0" baseItem="0" numFmtId="165"/>
    <dataField name="Итого_со_страховыми" fld="13" baseField="0" baseItem="0" numFmtId="164"/>
    <dataField name="Сумма_изменений" fld="11" baseField="0" baseItem="0" numFmtId="164"/>
  </dataFields>
  <formats count="9">
    <format dxfId="91">
      <pivotArea outline="0" collapsedLevelsAreSubtotals="1" fieldPosition="0"/>
    </format>
    <format dxfId="90">
      <pivotArea outline="0" collapsedLevelsAreSubtotals="1" fieldPosition="0"/>
    </format>
    <format dxfId="89">
      <pivotArea field="2" type="button" dataOnly="0" labelOnly="1" outline="0" axis="axisRow" fieldPosition="0"/>
    </format>
    <format dxfId="88">
      <pivotArea field="2" type="button" dataOnly="0" labelOnly="1" outline="0" axis="axisRow" fieldPosition="0"/>
    </format>
    <format dxfId="87">
      <pivotArea field="2" type="button" dataOnly="0" labelOnly="1" outline="0" axis="axisRow" fieldPosition="0"/>
    </format>
    <format dxfId="86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3">
      <pivotArea field="2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пециалист" xr10:uid="{8A97F2FF-DEB9-4F78-88E6-3910BAA94D47}" sourceName="Специалист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_выполнения_работ" xr10:uid="{A9F48534-E9E7-44B7-BD3B-089FAA279D2C}" sourceName="Месяц выполнения работ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дрядчик" xr10:uid="{D2DD71A6-8264-4E9E-B603-02BC1EF4E5FD}" sourceName="Подрядчик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Специалист" xr10:uid="{B7641460-FC5A-4BF9-9E3B-949ABFC6A8A2}" cache="Срез_Специалист" caption="Специалист" columnCount="3" rowHeight="234950"/>
  <slicer name="Месяц выполнения работ" xr10:uid="{7B849274-7300-47B0-9AE3-4D1200F9B23E}" cache="Срез_Месяц_выполнения_работ" caption="Месяц выполнения работ" columnCount="4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Подрядчик" xr10:uid="{D08C488C-6F70-4FF6-9171-35EE6A75AF9F}" cache="Срез_Подрядчик" caption="Подрядчик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522889-AB50-4FB2-A89D-145EC3C6A8C6}" name="Таблица1" displayName="Таблица1" ref="A13:Q41" totalsRowCount="1" headerRowDxfId="78" dataDxfId="76" totalsRowDxfId="74" headerRowBorderDxfId="77" tableBorderDxfId="75" totalsRowBorderDxfId="73">
  <autoFilter ref="A13:Q40" xr:uid="{C5522889-AB50-4FB2-A89D-145EC3C6A8C6}"/>
  <tableColumns count="17">
    <tableColumn id="1" xr3:uid="{C376347D-B3A9-4078-81BF-5088EF867433}" name="Месяц выполнения работ" totalsRowLabel="Итог" dataDxfId="72" totalsRowDxfId="71"/>
    <tableColumn id="2" xr3:uid="{265D49D1-8549-4940-B45C-0CA10457BD23}" name="Специалист" dataDxfId="70" totalsRowDxfId="69"/>
    <tableColumn id="3" xr3:uid="{FD7FC238-3F02-4886-9262-2EC4052B1DA9}" name="Форма контрактации" dataDxfId="68" totalsRowDxfId="67"/>
    <tableColumn id="17" xr3:uid="{72F9D393-666F-4B65-934D-A0382DF93EC5}" name="Ставка НДС" dataDxfId="66" totalsRowDxfId="65"/>
    <tableColumn id="4" xr3:uid="{1B9A1A6E-9047-4CEB-8D83-729A3CADCC9B}" name="Роль" dataDxfId="64" totalsRowDxfId="63"/>
    <tableColumn id="5" xr3:uid="{437DE07F-6629-4227-8FA1-B19AF1A6FA45}" name="Загрузка респлан" totalsRowFunction="sum" dataDxfId="62" totalsRowDxfId="61"/>
    <tableColumn id="6" xr3:uid="{99C7B65F-4CF9-44D8-B0FB-FECDAE350367}" name="Часы _x000a_ПЛАН" totalsRowFunction="sum" dataDxfId="60" totalsRowDxfId="59">
      <calculatedColumnFormula>ROUND(Таблица1[[#This Row],[Загрузка респлан]]*VLOOKUP(Таблица1[[#This Row],[Месяц выполнения работ]],технический!$A$1:$B$25,2,FALSE),0)</calculatedColumnFormula>
    </tableColumn>
    <tableColumn id="7" xr3:uid="{71C54498-8A8E-4A06-A14F-081D94A2B47F}" name="Часы _x000a_ФАКТ" totalsRowFunction="sum" dataDxfId="58" totalsRowDxfId="57"/>
    <tableColumn id="8" xr3:uid="{1E8AD95B-D819-488B-846A-6417C6A3F933}" name="Ставка Gross" dataDxfId="56" totalsRowDxfId="55"/>
    <tableColumn id="9" xr3:uid="{99AC2FAF-92B2-4680-9263-F68467D2A216}" name="Итого без овертаймов" totalsRowFunction="sum" dataDxfId="54" totalsRowDxfId="53">
      <calculatedColumnFormula>ROUND(I14*IF(Таблица1[[#This Row],[Часы 
ФАКТ]]="",Таблица1[[#This Row],[Часы 
ПЛАН]],Таблица1[[#This Row],[Часы 
ФАКТ]]),0)</calculatedColumnFormula>
    </tableColumn>
    <tableColumn id="10" xr3:uid="{38A9590F-D029-423B-9466-3763C7BC0F4A}" name="Заложено в ФП" totalsRowFunction="sum" dataDxfId="52" totalsRowDxfId="51"/>
    <tableColumn id="11" xr3:uid="{CE0079C4-960F-4556-9AC3-E93CA89EA81D}" name="Сумма изменений" totalsRowFunction="sum" dataDxfId="50" totalsRowDxfId="49">
      <calculatedColumnFormula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calculatedColumnFormula>
    </tableColumn>
    <tableColumn id="12" xr3:uid="{F7870297-B244-4110-8CAD-36940D3EBA10}" name="Страховые взносы 7,8%" totalsRowFunction="sum" dataDxfId="48" totalsRowDxfId="47">
      <calculatedColumnFormula>IF(Таблица1[[#This Row],[Форма контрактации]]="ГПХ", Таблица1[[#This Row],[Итого без овертаймов]]*7.6%, "0")</calculatedColumnFormula>
    </tableColumn>
    <tableColumn id="13" xr3:uid="{CF63B269-8E68-40EB-9DF7-95B163C4E950}" name="Итого со страховыми" totalsRowFunction="sum" dataDxfId="46" totalsRowDxfId="45">
      <calculatedColumnFormula>ROUND(Таблица1[[#This Row],[Итого без овертаймов]]+Таблица1[[#This Row],[Страховые взносы 7,8%]],0)</calculatedColumnFormula>
    </tableColumn>
    <tableColumn id="14" xr3:uid="{55B8A756-E978-4AA0-8331-A4850D277A59}" name="Прогнозный месяц подписания Акта" dataDxfId="44" totalsRowDxfId="43"/>
    <tableColumn id="15" xr3:uid="{0CB1A48D-3905-448E-A344-43D514C8D122}" name="Прогнозный срок выплат" dataDxfId="42" totalsRowDxfId="41"/>
    <tableColumn id="16" xr3:uid="{98F3330F-A44E-4AC1-9837-2A9919F150BB}" name="Комментарий" dataDxfId="40" totalsRow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7065A-CE21-45FC-8BBE-CF6DB533A380}" name="Таблица2" displayName="Таблица2" ref="A13:J16" totalsRowCount="1" headerRowDxfId="38" dataDxfId="36" totalsRowDxfId="34" headerRowBorderDxfId="37" tableBorderDxfId="35" totalsRowBorderDxfId="33">
  <autoFilter ref="A13:J15" xr:uid="{9A17065A-CE21-45FC-8BBE-CF6DB533A380}"/>
  <tableColumns count="10">
    <tableColumn id="1" xr3:uid="{11D93B3C-53A2-4023-A8B0-D34DC4F27F5F}" name="Месяц выполнения работ" totalsRowLabel="Итог" dataDxfId="32" totalsRowDxfId="31"/>
    <tableColumn id="2" xr3:uid="{340676A6-C444-4782-92B1-D37BA01C360D}" name="Подрядчик" dataDxfId="30" totalsRowDxfId="29"/>
    <tableColumn id="19" xr3:uid="{EAB277C6-81A5-4484-B48C-1BEFF1C10650}" name="Ставка НДС" dataDxfId="28" totalsRowDxfId="27" dataCellStyle="Процентный"/>
    <tableColumn id="3" xr3:uid="{BE4A88BB-279A-40B6-B6E3-0D0A6CE6FF49}" name="Итого за период _x000a_без НДС" totalsRowFunction="sum" dataDxfId="26" totalsRowDxfId="25" dataCellStyle="Процентный"/>
    <tableColumn id="8" xr3:uid="{4CA235E2-1F87-4B3A-B0AC-8214EBFA9D90}" name="Итого за период _x000a_с НДС" totalsRowFunction="sum" dataDxfId="24" totalsRowDxfId="23">
      <calculatedColumnFormula>Таблица2[[#This Row],[Итого за период 
без НДС]]*(1+IF(ISNUMBER(Таблица2[[#This Row],[Ставка НДС]]),Таблица2[[#This Row],[Ставка НДС]],Таблица2[[#This Row],[Ставка НДС]]/100))</calculatedColumnFormula>
    </tableColumn>
    <tableColumn id="9" xr3:uid="{9FAC404E-F196-4106-8425-7D376B7C11FE}" name="Заложено в ФП с НДС" totalsRowFunction="sum" dataDxfId="22" totalsRowDxfId="21"/>
    <tableColumn id="10" xr3:uid="{9E4428A8-5119-4154-96AB-AE382EC700AC}" name="Сумма изменений с НДС" totalsRowFunction="sum" dataDxfId="20" totalsRowDxfId="19">
      <calculatedColumnFormula xml:space="preserve"> Таблица2[[#This Row],[Итого за период 
с НДС]]-Таблица2[[#This Row],[Заложено в ФП с НДС]]</calculatedColumnFormula>
    </tableColumn>
    <tableColumn id="15" xr3:uid="{1A6E2925-E94D-41E8-AF81-2556204CEE9D}" name="Прогнозный месяц подписания Акта" dataDxfId="18" totalsRowDxfId="17"/>
    <tableColumn id="16" xr3:uid="{E7B00F52-4C7E-47CE-B310-E602EC8F7183}" name="Прогнозный месяц выплат" dataDxfId="16" totalsRowDxfId="15"/>
    <tableColumn id="17" xr3:uid="{F7A6F11A-05AB-4B3F-BC6D-1AC7DF61875A}" name="Комментарий" dataDxfId="14" totalsRow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8D3E-FB59-4059-A310-37043083602F}">
  <dimension ref="A3:E20"/>
  <sheetViews>
    <sheetView workbookViewId="0">
      <selection activeCell="C20" sqref="C20"/>
    </sheetView>
  </sheetViews>
  <sheetFormatPr defaultRowHeight="14.4" x14ac:dyDescent="0.3"/>
  <cols>
    <col min="1" max="1" width="23.44140625" bestFit="1" customWidth="1"/>
    <col min="2" max="2" width="26.109375" bestFit="1" customWidth="1"/>
    <col min="3" max="3" width="24.6640625" bestFit="1" customWidth="1"/>
    <col min="4" max="4" width="23.33203125" bestFit="1" customWidth="1"/>
    <col min="5" max="5" width="26" bestFit="1" customWidth="1"/>
    <col min="6" max="13" width="9" bestFit="1" customWidth="1"/>
    <col min="14" max="14" width="11.33203125" bestFit="1" customWidth="1"/>
  </cols>
  <sheetData>
    <row r="3" spans="1:5" s="22" customFormat="1" x14ac:dyDescent="0.3">
      <c r="A3" s="88" t="s">
        <v>84</v>
      </c>
      <c r="B3" s="22" t="s">
        <v>60</v>
      </c>
      <c r="C3" s="22" t="s">
        <v>29</v>
      </c>
      <c r="D3" s="89" t="s">
        <v>62</v>
      </c>
      <c r="E3" s="22" t="s">
        <v>28</v>
      </c>
    </row>
    <row r="4" spans="1:5" x14ac:dyDescent="0.3">
      <c r="A4" s="20" t="s">
        <v>16</v>
      </c>
      <c r="B4" s="6"/>
      <c r="C4" s="6"/>
      <c r="D4" s="5"/>
      <c r="E4" s="5"/>
    </row>
    <row r="5" spans="1:5" x14ac:dyDescent="0.3">
      <c r="A5" s="21" t="s">
        <v>15</v>
      </c>
      <c r="B5" s="6">
        <v>926820</v>
      </c>
      <c r="C5" s="6">
        <v>997259</v>
      </c>
      <c r="D5" s="5">
        <v>997259</v>
      </c>
      <c r="E5" s="5">
        <v>0</v>
      </c>
    </row>
    <row r="6" spans="1:5" x14ac:dyDescent="0.3">
      <c r="A6" s="20" t="s">
        <v>22</v>
      </c>
      <c r="B6" s="6"/>
      <c r="C6" s="6"/>
      <c r="D6" s="5"/>
      <c r="E6" s="5"/>
    </row>
    <row r="7" spans="1:5" x14ac:dyDescent="0.3">
      <c r="A7" s="21" t="s">
        <v>21</v>
      </c>
      <c r="B7" s="6">
        <v>130000</v>
      </c>
      <c r="C7" s="6">
        <v>130000</v>
      </c>
      <c r="D7" s="5">
        <v>130000</v>
      </c>
      <c r="E7" s="5">
        <v>0</v>
      </c>
    </row>
    <row r="8" spans="1:5" x14ac:dyDescent="0.3">
      <c r="A8" s="20" t="s">
        <v>13</v>
      </c>
      <c r="B8" s="6"/>
      <c r="C8" s="6"/>
      <c r="D8" s="5"/>
      <c r="E8" s="5"/>
    </row>
    <row r="9" spans="1:5" x14ac:dyDescent="0.3">
      <c r="A9" s="21" t="s">
        <v>14</v>
      </c>
      <c r="B9" s="6">
        <v>1275171</v>
      </c>
      <c r="C9" s="6">
        <v>1300703</v>
      </c>
      <c r="D9" s="5">
        <v>1275171</v>
      </c>
      <c r="E9" s="5">
        <v>-25532</v>
      </c>
    </row>
    <row r="10" spans="1:5" x14ac:dyDescent="0.3">
      <c r="A10" s="21" t="s">
        <v>19</v>
      </c>
      <c r="B10" s="6">
        <v>691200</v>
      </c>
      <c r="C10" s="6">
        <v>691200</v>
      </c>
      <c r="D10" s="5">
        <v>691200</v>
      </c>
      <c r="E10" s="5">
        <v>0</v>
      </c>
    </row>
    <row r="11" spans="1:5" x14ac:dyDescent="0.3">
      <c r="A11" s="21" t="s">
        <v>20</v>
      </c>
      <c r="B11" s="6">
        <v>525840</v>
      </c>
      <c r="C11" s="6">
        <v>525840</v>
      </c>
      <c r="D11" s="5">
        <v>525840</v>
      </c>
      <c r="E11" s="5">
        <v>0</v>
      </c>
    </row>
    <row r="12" spans="1:5" x14ac:dyDescent="0.3">
      <c r="A12" s="20" t="s">
        <v>27</v>
      </c>
      <c r="B12" s="6">
        <v>3549031</v>
      </c>
      <c r="C12" s="6">
        <v>3645002</v>
      </c>
      <c r="D12" s="5">
        <v>3619470</v>
      </c>
      <c r="E12" s="92">
        <v>-25532</v>
      </c>
    </row>
    <row r="15" spans="1:5" x14ac:dyDescent="0.3">
      <c r="A15" s="94" t="s">
        <v>84</v>
      </c>
      <c r="B15" t="s">
        <v>80</v>
      </c>
      <c r="C15" t="s">
        <v>81</v>
      </c>
      <c r="D15" t="s">
        <v>82</v>
      </c>
      <c r="E15" t="s">
        <v>83</v>
      </c>
    </row>
    <row r="16" spans="1:5" x14ac:dyDescent="0.3">
      <c r="A16" s="20" t="s">
        <v>79</v>
      </c>
      <c r="B16" s="5"/>
      <c r="C16" s="5"/>
      <c r="D16" s="5"/>
      <c r="E16" s="5"/>
    </row>
    <row r="17" spans="1:5" x14ac:dyDescent="0.3">
      <c r="A17" s="109">
        <v>0.22</v>
      </c>
      <c r="B17" s="5">
        <v>8970462</v>
      </c>
      <c r="C17" s="5">
        <v>10943963.640000001</v>
      </c>
      <c r="D17" s="5">
        <v>10943963.640000001</v>
      </c>
      <c r="E17" s="5">
        <v>0</v>
      </c>
    </row>
    <row r="18" spans="1:5" x14ac:dyDescent="0.3">
      <c r="A18" s="20" t="s">
        <v>78</v>
      </c>
      <c r="B18" s="5"/>
      <c r="C18" s="5"/>
      <c r="D18" s="5"/>
      <c r="E18" s="5"/>
    </row>
    <row r="19" spans="1:5" x14ac:dyDescent="0.3">
      <c r="A19" s="109">
        <v>0.2</v>
      </c>
      <c r="B19" s="5">
        <v>37500000</v>
      </c>
      <c r="C19" s="5">
        <v>45000000</v>
      </c>
      <c r="D19" s="5">
        <v>0</v>
      </c>
      <c r="E19" s="5">
        <v>45000000</v>
      </c>
    </row>
    <row r="20" spans="1:5" x14ac:dyDescent="0.3">
      <c r="A20" s="20" t="s">
        <v>27</v>
      </c>
      <c r="B20" s="5">
        <v>46470462</v>
      </c>
      <c r="C20" s="5">
        <v>55943963.640000001</v>
      </c>
      <c r="D20" s="5">
        <v>10943963.640000001</v>
      </c>
      <c r="E20" s="110">
        <v>45000000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862A-72BA-4FFE-B206-48C8F486DA83}">
  <dimension ref="A13:Q41"/>
  <sheetViews>
    <sheetView tabSelected="1" workbookViewId="0">
      <selection activeCell="J45" sqref="J45"/>
    </sheetView>
  </sheetViews>
  <sheetFormatPr defaultRowHeight="14.4" x14ac:dyDescent="0.3"/>
  <cols>
    <col min="1" max="1" width="12.44140625" customWidth="1"/>
    <col min="2" max="2" width="20.109375" customWidth="1"/>
    <col min="3" max="3" width="12.109375" customWidth="1"/>
    <col min="4" max="4" width="12.5546875" customWidth="1"/>
    <col min="5" max="5" width="29.44140625" customWidth="1"/>
    <col min="6" max="6" width="10.6640625" customWidth="1"/>
    <col min="7" max="7" width="10.5546875" customWidth="1"/>
    <col min="8" max="8" width="13.109375" customWidth="1"/>
    <col min="9" max="9" width="16.33203125" customWidth="1"/>
    <col min="10" max="10" width="15.44140625" customWidth="1"/>
    <col min="11" max="11" width="17.88671875" customWidth="1"/>
    <col min="12" max="12" width="15.5546875" customWidth="1"/>
    <col min="13" max="13" width="16.6640625" customWidth="1"/>
    <col min="14" max="14" width="17.44140625" customWidth="1"/>
    <col min="15" max="15" width="19.88671875" customWidth="1"/>
    <col min="16" max="16" width="15.6640625" customWidth="1"/>
    <col min="17" max="17" width="24.44140625" customWidth="1"/>
  </cols>
  <sheetData>
    <row r="13" spans="1:17" ht="41.4" x14ac:dyDescent="0.3">
      <c r="A13" s="7" t="s">
        <v>2</v>
      </c>
      <c r="B13" s="2" t="s">
        <v>1</v>
      </c>
      <c r="C13" s="2" t="s">
        <v>7</v>
      </c>
      <c r="D13" s="2" t="s">
        <v>41</v>
      </c>
      <c r="E13" s="2" t="s">
        <v>4</v>
      </c>
      <c r="F13" s="2" t="s">
        <v>51</v>
      </c>
      <c r="G13" s="2" t="s">
        <v>8</v>
      </c>
      <c r="H13" s="2" t="s">
        <v>9</v>
      </c>
      <c r="I13" s="2" t="s">
        <v>10</v>
      </c>
      <c r="J13" s="2" t="s">
        <v>52</v>
      </c>
      <c r="K13" s="2" t="s">
        <v>0</v>
      </c>
      <c r="L13" s="3" t="s">
        <v>3</v>
      </c>
      <c r="M13" s="2" t="s">
        <v>18</v>
      </c>
      <c r="N13" s="2" t="s">
        <v>61</v>
      </c>
      <c r="O13" s="4" t="s">
        <v>11</v>
      </c>
      <c r="P13" s="4" t="s">
        <v>12</v>
      </c>
      <c r="Q13" s="8" t="s">
        <v>5</v>
      </c>
    </row>
    <row r="14" spans="1:17" x14ac:dyDescent="0.3">
      <c r="A14" s="19">
        <v>45627</v>
      </c>
      <c r="B14" s="9" t="s">
        <v>14</v>
      </c>
      <c r="C14" s="10" t="s">
        <v>13</v>
      </c>
      <c r="D14" s="12">
        <v>0</v>
      </c>
      <c r="E14" s="11" t="s">
        <v>6</v>
      </c>
      <c r="F14" s="12">
        <v>0.24</v>
      </c>
      <c r="G14" s="10">
        <f>ROUND(Таблица1[[#This Row],[Загрузка респлан]]*VLOOKUP(Таблица1[[#This Row],[Месяц выполнения работ]],технический!$A$1:$B$25,2,FALSE),0)</f>
        <v>40</v>
      </c>
      <c r="H14" s="10">
        <v>40.33</v>
      </c>
      <c r="I14" s="13">
        <v>2127.66</v>
      </c>
      <c r="J14" s="18">
        <f>ROUND(I14*IF(Таблица1[[#This Row],[Часы 
ФАКТ]]="",Таблица1[[#This Row],[Часы 
ПЛАН]],Таблица1[[#This Row],[Часы 
ФАКТ]]),0)</f>
        <v>85809</v>
      </c>
      <c r="K14" s="18">
        <v>85809</v>
      </c>
      <c r="L14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14" s="13" t="str">
        <f>IF(Таблица1[[#This Row],[Форма контрактации]]="ГПХ", Таблица1[[#This Row],[Итого без овертаймов]]*7.6%, "0")</f>
        <v>0</v>
      </c>
      <c r="N14" s="13">
        <f>ROUND(Таблица1[[#This Row],[Итого без овертаймов]]+Таблица1[[#This Row],[Страховые взносы 7,8%]],0)</f>
        <v>85809</v>
      </c>
      <c r="O14" s="90">
        <v>45658</v>
      </c>
      <c r="P14" s="90">
        <v>45658</v>
      </c>
      <c r="Q14" s="14" t="s">
        <v>53</v>
      </c>
    </row>
    <row r="15" spans="1:17" x14ac:dyDescent="0.3">
      <c r="A15" s="19">
        <v>45658</v>
      </c>
      <c r="B15" s="9" t="s">
        <v>14</v>
      </c>
      <c r="C15" s="10" t="s">
        <v>13</v>
      </c>
      <c r="D15" s="12">
        <v>0</v>
      </c>
      <c r="E15" s="11" t="s">
        <v>6</v>
      </c>
      <c r="F15" s="12">
        <v>0.22</v>
      </c>
      <c r="G15" s="10">
        <f>ROUND(Таблица1[[#This Row],[Загрузка респлан]]*VLOOKUP(Таблица1[[#This Row],[Месяц выполнения работ]],технический!$A$1:$B$25,2,FALSE),0)</f>
        <v>30</v>
      </c>
      <c r="H15" s="10">
        <v>30</v>
      </c>
      <c r="I15" s="13">
        <v>2127.66</v>
      </c>
      <c r="J15" s="18">
        <f>ROUND(I15*IF(Таблица1[[#This Row],[Часы 
ФАКТ]]="",Таблица1[[#This Row],[Часы 
ПЛАН]],Таблица1[[#This Row],[Часы 
ФАКТ]]),0)</f>
        <v>63830</v>
      </c>
      <c r="K15" s="18">
        <v>63830</v>
      </c>
      <c r="L15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15" s="13" t="str">
        <f>IF(Таблица1[[#This Row],[Форма контрактации]]="ГПХ", Таблица1[[#This Row],[Итого без овертаймов]]*7.6%, "0")</f>
        <v>0</v>
      </c>
      <c r="N15" s="13">
        <f>ROUND(Таблица1[[#This Row],[Итого без овертаймов]]+Таблица1[[#This Row],[Страховые взносы 7,8%]],0)</f>
        <v>63830</v>
      </c>
      <c r="O15" s="90">
        <v>45717</v>
      </c>
      <c r="P15" s="90">
        <v>45717</v>
      </c>
      <c r="Q15" s="14" t="s">
        <v>54</v>
      </c>
    </row>
    <row r="16" spans="1:17" x14ac:dyDescent="0.3">
      <c r="A16" s="19">
        <v>45689</v>
      </c>
      <c r="B16" s="9" t="s">
        <v>14</v>
      </c>
      <c r="C16" s="10" t="s">
        <v>13</v>
      </c>
      <c r="D16" s="12">
        <v>0</v>
      </c>
      <c r="E16" s="11" t="s">
        <v>6</v>
      </c>
      <c r="F16" s="12">
        <v>0.5</v>
      </c>
      <c r="G16" s="10">
        <f>ROUND(Таблица1[[#This Row],[Загрузка респлан]]*VLOOKUP(Таблица1[[#This Row],[Месяц выполнения работ]],технический!$A$1:$B$25,2,FALSE),0)</f>
        <v>80</v>
      </c>
      <c r="H16" s="10">
        <v>80</v>
      </c>
      <c r="I16" s="13">
        <v>2127.66</v>
      </c>
      <c r="J16" s="18">
        <f>ROUND(I16*IF(Таблица1[[#This Row],[Часы 
ФАКТ]]="",Таблица1[[#This Row],[Часы 
ПЛАН]],Таблица1[[#This Row],[Часы 
ФАКТ]]),0)</f>
        <v>170213</v>
      </c>
      <c r="K16" s="18">
        <v>170213</v>
      </c>
      <c r="L16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16" s="13" t="str">
        <f>IF(Таблица1[[#This Row],[Форма контрактации]]="ГПХ", Таблица1[[#This Row],[Итого без овертаймов]]*7.6%, "0")</f>
        <v>0</v>
      </c>
      <c r="N16" s="13">
        <f>ROUND(Таблица1[[#This Row],[Итого без овертаймов]]+Таблица1[[#This Row],[Страховые взносы 7,8%]],0)</f>
        <v>170213</v>
      </c>
      <c r="O16" s="90">
        <v>45748</v>
      </c>
      <c r="P16" s="90">
        <v>45778</v>
      </c>
      <c r="Q16" s="14" t="s">
        <v>55</v>
      </c>
    </row>
    <row r="17" spans="1:17" x14ac:dyDescent="0.3">
      <c r="A17" s="19">
        <v>45717</v>
      </c>
      <c r="B17" s="9" t="s">
        <v>14</v>
      </c>
      <c r="C17" s="10" t="s">
        <v>13</v>
      </c>
      <c r="D17" s="12">
        <v>0</v>
      </c>
      <c r="E17" s="11" t="s">
        <v>6</v>
      </c>
      <c r="F17" s="12">
        <v>0.49</v>
      </c>
      <c r="G17" s="10">
        <f>ROUND(Таблица1[[#This Row],[Загрузка респлан]]*VLOOKUP(Таблица1[[#This Row],[Месяц выполнения работ]],технический!$A$1:$B$25,2,FALSE),0)</f>
        <v>82</v>
      </c>
      <c r="H17" s="10">
        <v>81</v>
      </c>
      <c r="I17" s="13">
        <v>2127.66</v>
      </c>
      <c r="J17" s="18">
        <f>ROUND(I17*IF(Таблица1[[#This Row],[Часы 
ФАКТ]]="",Таблица1[[#This Row],[Часы 
ПЛАН]],Таблица1[[#This Row],[Часы 
ФАКТ]]),0)</f>
        <v>172340</v>
      </c>
      <c r="K17" s="18">
        <v>172340</v>
      </c>
      <c r="L17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17" s="13" t="str">
        <f>IF(Таблица1[[#This Row],[Форма контрактации]]="ГПХ", Таблица1[[#This Row],[Итого без овертаймов]]*7.6%, "0")</f>
        <v>0</v>
      </c>
      <c r="N17" s="13">
        <f>ROUND(Таблица1[[#This Row],[Итого без овертаймов]]+Таблица1[[#This Row],[Страховые взносы 7,8%]],0)</f>
        <v>172340</v>
      </c>
      <c r="O17" s="90">
        <v>45748</v>
      </c>
      <c r="P17" s="90">
        <v>45778</v>
      </c>
      <c r="Q17" s="14" t="s">
        <v>55</v>
      </c>
    </row>
    <row r="18" spans="1:17" x14ac:dyDescent="0.3">
      <c r="A18" s="19">
        <v>45748</v>
      </c>
      <c r="B18" s="9" t="s">
        <v>14</v>
      </c>
      <c r="C18" s="10" t="s">
        <v>13</v>
      </c>
      <c r="D18" s="12">
        <v>0</v>
      </c>
      <c r="E18" s="11" t="s">
        <v>6</v>
      </c>
      <c r="F18" s="12">
        <v>0.3</v>
      </c>
      <c r="G18" s="10">
        <f>ROUND(Таблица1[[#This Row],[Загрузка респлан]]*VLOOKUP(Таблица1[[#This Row],[Месяц выполнения работ]],технический!$A$1:$B$25,2,FALSE),0)</f>
        <v>53</v>
      </c>
      <c r="H18" s="10">
        <v>52</v>
      </c>
      <c r="I18" s="13">
        <v>2127.66</v>
      </c>
      <c r="J18" s="18">
        <f>ROUND(I18*IF(Таблица1[[#This Row],[Часы 
ФАКТ]]="",Таблица1[[#This Row],[Часы 
ПЛАН]],Таблица1[[#This Row],[Часы 
ФАКТ]]),0)</f>
        <v>110638</v>
      </c>
      <c r="K18" s="18">
        <v>110638</v>
      </c>
      <c r="L18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18" s="13" t="str">
        <f>IF(Таблица1[[#This Row],[Форма контрактации]]="ГПХ", Таблица1[[#This Row],[Итого без овертаймов]]*7.6%, "0")</f>
        <v>0</v>
      </c>
      <c r="N18" s="13">
        <f>ROUND(Таблица1[[#This Row],[Итого без овертаймов]]+Таблица1[[#This Row],[Страховые взносы 7,8%]],0)</f>
        <v>110638</v>
      </c>
      <c r="O18" s="90">
        <v>45778</v>
      </c>
      <c r="P18" s="90">
        <v>45809</v>
      </c>
      <c r="Q18" s="14" t="s">
        <v>56</v>
      </c>
    </row>
    <row r="19" spans="1:17" x14ac:dyDescent="0.3">
      <c r="A19" s="19">
        <v>45778</v>
      </c>
      <c r="B19" s="9" t="s">
        <v>14</v>
      </c>
      <c r="C19" s="10" t="s">
        <v>13</v>
      </c>
      <c r="D19" s="12">
        <v>0</v>
      </c>
      <c r="E19" s="11" t="s">
        <v>6</v>
      </c>
      <c r="F19" s="12">
        <v>0.38</v>
      </c>
      <c r="G19" s="10">
        <f>ROUND(Таблица1[[#This Row],[Загрузка респлан]]*VLOOKUP(Таблица1[[#This Row],[Месяц выполнения работ]],технический!$A$1:$B$25,2,FALSE),0)</f>
        <v>55</v>
      </c>
      <c r="H19" s="10">
        <v>54</v>
      </c>
      <c r="I19" s="13">
        <v>2127.66</v>
      </c>
      <c r="J19" s="18">
        <f>ROUND(I19*IF(Таблица1[[#This Row],[Часы 
ФАКТ]]="",Таблица1[[#This Row],[Часы 
ПЛАН]],Таблица1[[#This Row],[Часы 
ФАКТ]]),0)</f>
        <v>114894</v>
      </c>
      <c r="K19" s="18">
        <v>114894</v>
      </c>
      <c r="L19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19" s="13" t="str">
        <f>IF(Таблица1[[#This Row],[Форма контрактации]]="ГПХ", Таблица1[[#This Row],[Итого без овертаймов]]*7.6%, "0")</f>
        <v>0</v>
      </c>
      <c r="N19" s="13">
        <f>ROUND(Таблица1[[#This Row],[Итого без овертаймов]]+Таблица1[[#This Row],[Страховые взносы 7,8%]],0)</f>
        <v>114894</v>
      </c>
      <c r="O19" s="90">
        <v>45778</v>
      </c>
      <c r="P19" s="90">
        <v>45809</v>
      </c>
      <c r="Q19" s="14" t="s">
        <v>56</v>
      </c>
    </row>
    <row r="20" spans="1:17" x14ac:dyDescent="0.3">
      <c r="A20" s="19">
        <v>45809</v>
      </c>
      <c r="B20" s="9" t="s">
        <v>14</v>
      </c>
      <c r="C20" s="10" t="s">
        <v>13</v>
      </c>
      <c r="D20" s="12">
        <v>0</v>
      </c>
      <c r="E20" s="11" t="s">
        <v>6</v>
      </c>
      <c r="F20" s="12">
        <v>0.41</v>
      </c>
      <c r="G20" s="10">
        <f>ROUND(Таблица1[[#This Row],[Загрузка респлан]]*VLOOKUP(Таблица1[[#This Row],[Месяц выполнения работ]],технический!$A$1:$B$25,2,FALSE),0)</f>
        <v>62</v>
      </c>
      <c r="H20" s="10">
        <v>62</v>
      </c>
      <c r="I20" s="13">
        <v>2127.66</v>
      </c>
      <c r="J20" s="18">
        <f>ROUND(I20*IF(Таблица1[[#This Row],[Часы 
ФАКТ]]="",Таблица1[[#This Row],[Часы 
ПЛАН]],Таблица1[[#This Row],[Часы 
ФАКТ]]),0)</f>
        <v>131915</v>
      </c>
      <c r="K20" s="18">
        <v>131915</v>
      </c>
      <c r="L20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20" s="13" t="str">
        <f>IF(Таблица1[[#This Row],[Форма контрактации]]="ГПХ", Таблица1[[#This Row],[Итого без овертаймов]]*7.6%, "0")</f>
        <v>0</v>
      </c>
      <c r="N20" s="13">
        <f>ROUND(Таблица1[[#This Row],[Итого без овертаймов]]+Таблица1[[#This Row],[Страховые взносы 7,8%]],0)</f>
        <v>131915</v>
      </c>
      <c r="O20" s="90">
        <v>45870</v>
      </c>
      <c r="P20" s="90">
        <v>45870</v>
      </c>
      <c r="Q20" s="14" t="s">
        <v>57</v>
      </c>
    </row>
    <row r="21" spans="1:17" x14ac:dyDescent="0.3">
      <c r="A21" s="19">
        <v>45839</v>
      </c>
      <c r="B21" s="9" t="s">
        <v>14</v>
      </c>
      <c r="C21" s="10" t="s">
        <v>13</v>
      </c>
      <c r="D21" s="12">
        <v>0</v>
      </c>
      <c r="E21" s="11" t="s">
        <v>6</v>
      </c>
      <c r="F21" s="12">
        <v>0.1</v>
      </c>
      <c r="G21" s="10">
        <f>ROUND(Таблица1[[#This Row],[Загрузка респлан]]*VLOOKUP(Таблица1[[#This Row],[Месяц выполнения работ]],технический!$A$1:$B$25,2,FALSE),0)</f>
        <v>18</v>
      </c>
      <c r="H21" s="10">
        <v>18</v>
      </c>
      <c r="I21" s="13">
        <v>2127.66</v>
      </c>
      <c r="J21" s="18">
        <f>ROUND(I21*IF(Таблица1[[#This Row],[Часы 
ФАКТ]]="",Таблица1[[#This Row],[Часы 
ПЛАН]],Таблица1[[#This Row],[Часы 
ФАКТ]]),0)</f>
        <v>38298</v>
      </c>
      <c r="K21" s="18">
        <v>38298</v>
      </c>
      <c r="L21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21" s="13" t="str">
        <f>IF(Таблица1[[#This Row],[Форма контрактации]]="ГПХ", Таблица1[[#This Row],[Итого без овертаймов]]*7.6%, "0")</f>
        <v>0</v>
      </c>
      <c r="N21" s="13">
        <f>ROUND(Таблица1[[#This Row],[Итого без овертаймов]]+Таблица1[[#This Row],[Страховые взносы 7,8%]],0)</f>
        <v>38298</v>
      </c>
      <c r="O21" s="90">
        <v>45870</v>
      </c>
      <c r="P21" s="90">
        <v>45870</v>
      </c>
      <c r="Q21" s="14" t="s">
        <v>57</v>
      </c>
    </row>
    <row r="22" spans="1:17" x14ac:dyDescent="0.3">
      <c r="A22" s="19">
        <v>45870</v>
      </c>
      <c r="B22" s="9" t="s">
        <v>14</v>
      </c>
      <c r="C22" s="10" t="s">
        <v>13</v>
      </c>
      <c r="D22" s="12">
        <v>0</v>
      </c>
      <c r="E22" s="11" t="s">
        <v>6</v>
      </c>
      <c r="F22" s="12">
        <v>0.08</v>
      </c>
      <c r="G22" s="10">
        <f>ROUND(Таблица1[[#This Row],[Загрузка респлан]]*VLOOKUP(Таблица1[[#This Row],[Месяц выполнения работ]],технический!$A$1:$B$25,2,FALSE),0)</f>
        <v>13</v>
      </c>
      <c r="H22" s="10">
        <v>14</v>
      </c>
      <c r="I22" s="13">
        <v>2127.66</v>
      </c>
      <c r="J22" s="18">
        <f>ROUND(I22*IF(Таблица1[[#This Row],[Часы 
ФАКТ]]="",Таблица1[[#This Row],[Часы 
ПЛАН]],Таблица1[[#This Row],[Часы 
ФАКТ]]),0)</f>
        <v>29787</v>
      </c>
      <c r="K22" s="18">
        <v>29787</v>
      </c>
      <c r="L22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22" s="13" t="str">
        <f>IF(Таблица1[[#This Row],[Форма контрактации]]="ГПХ", Таблица1[[#This Row],[Итого без овертаймов]]*7.6%, "0")</f>
        <v>0</v>
      </c>
      <c r="N22" s="13">
        <f>ROUND(Таблица1[[#This Row],[Итого без овертаймов]]+Таблица1[[#This Row],[Страховые взносы 7,8%]],0)</f>
        <v>29787</v>
      </c>
      <c r="O22" s="90">
        <v>45901</v>
      </c>
      <c r="P22" s="90">
        <v>45901</v>
      </c>
      <c r="Q22" s="14" t="s">
        <v>66</v>
      </c>
    </row>
    <row r="23" spans="1:17" x14ac:dyDescent="0.3">
      <c r="A23" s="19">
        <v>45901</v>
      </c>
      <c r="B23" s="9" t="s">
        <v>14</v>
      </c>
      <c r="C23" s="10" t="s">
        <v>13</v>
      </c>
      <c r="D23" s="12">
        <v>0</v>
      </c>
      <c r="E23" s="11" t="s">
        <v>6</v>
      </c>
      <c r="F23" s="12">
        <v>7.0000000000000007E-2</v>
      </c>
      <c r="G23" s="10">
        <f>ROUND(Таблица1[[#This Row],[Загрузка респлан]]*VLOOKUP(Таблица1[[#This Row],[Месяц выполнения работ]],технический!$A$1:$B$25,2,FALSE),0)</f>
        <v>12</v>
      </c>
      <c r="H23" s="10">
        <v>12</v>
      </c>
      <c r="I23" s="13">
        <v>2127.66</v>
      </c>
      <c r="J23" s="18">
        <f>ROUND(I23*IF(Таблица1[[#This Row],[Часы 
ФАКТ]]="",Таблица1[[#This Row],[Часы 
ПЛАН]],Таблица1[[#This Row],[Часы 
ФАКТ]]),0)</f>
        <v>25532</v>
      </c>
      <c r="K23" s="18">
        <v>25532</v>
      </c>
      <c r="L23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0</v>
      </c>
      <c r="M23" s="13" t="str">
        <f>IF(Таблица1[[#This Row],[Форма контрактации]]="ГПХ", Таблица1[[#This Row],[Итого без овертаймов]]*7.6%, "0")</f>
        <v>0</v>
      </c>
      <c r="N23" s="13">
        <f>ROUND(Таблица1[[#This Row],[Итого без овертаймов]]+Таблица1[[#This Row],[Страховые взносы 7,8%]],0)</f>
        <v>25532</v>
      </c>
      <c r="O23" s="90">
        <v>45931</v>
      </c>
      <c r="P23" s="90">
        <v>45931</v>
      </c>
      <c r="Q23" s="14" t="s">
        <v>67</v>
      </c>
    </row>
    <row r="24" spans="1:17" x14ac:dyDescent="0.3">
      <c r="A24" s="19">
        <v>45931</v>
      </c>
      <c r="B24" s="9" t="s">
        <v>14</v>
      </c>
      <c r="C24" s="10" t="s">
        <v>13</v>
      </c>
      <c r="D24" s="12">
        <v>0</v>
      </c>
      <c r="E24" s="11" t="s">
        <v>6</v>
      </c>
      <c r="F24" s="12">
        <v>0.27</v>
      </c>
      <c r="G24" s="10">
        <f>ROUND(Таблица1[[#This Row],[Загрузка респлан]]*VLOOKUP(Таблица1[[#This Row],[Месяц выполнения работ]],технический!$A$1:$B$25,2,FALSE),0)</f>
        <v>50</v>
      </c>
      <c r="H24" s="10">
        <v>49</v>
      </c>
      <c r="I24" s="13">
        <v>2127.66</v>
      </c>
      <c r="J24" s="18">
        <f>ROUND(I24*IF(Таблица1[[#This Row],[Часы 
ФАКТ]]="",Таблица1[[#This Row],[Часы 
ПЛАН]],Таблица1[[#This Row],[Часы 
ФАКТ]]),0)</f>
        <v>104255</v>
      </c>
      <c r="K24" s="18"/>
      <c r="L24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104255</v>
      </c>
      <c r="M24" s="13" t="str">
        <f>IF(Таблица1[[#This Row],[Форма контрактации]]="ГПХ", Таблица1[[#This Row],[Итого без овертаймов]]*7.6%, "0")</f>
        <v>0</v>
      </c>
      <c r="N24" s="13">
        <f>ROUND(Таблица1[[#This Row],[Итого без овертаймов]]+Таблица1[[#This Row],[Страховые взносы 7,8%]],0)</f>
        <v>104255</v>
      </c>
      <c r="O24" s="90">
        <v>45962</v>
      </c>
      <c r="P24" s="90">
        <v>45962</v>
      </c>
      <c r="Q24" s="14" t="s">
        <v>68</v>
      </c>
    </row>
    <row r="25" spans="1:17" x14ac:dyDescent="0.3">
      <c r="A25" s="19">
        <v>45962</v>
      </c>
      <c r="B25" s="9" t="s">
        <v>14</v>
      </c>
      <c r="C25" s="10" t="s">
        <v>13</v>
      </c>
      <c r="D25" s="12">
        <v>0</v>
      </c>
      <c r="E25" s="11" t="s">
        <v>6</v>
      </c>
      <c r="F25" s="12">
        <v>0.31</v>
      </c>
      <c r="G25" s="91">
        <f>ROUND(Таблица1[[#This Row],[Загрузка респлан]]*VLOOKUP(Таблица1[[#This Row],[Месяц выполнения работ]],технический!$A$1:$B$25,2,FALSE),0)</f>
        <v>47</v>
      </c>
      <c r="H25" s="10">
        <v>47</v>
      </c>
      <c r="I25" s="13">
        <v>2127.66</v>
      </c>
      <c r="J25" s="18">
        <f>ROUND(I25*IF(Таблица1[[#This Row],[Часы 
ФАКТ]]="",Таблица1[[#This Row],[Часы 
ПЛАН]],Таблица1[[#This Row],[Часы 
ФАКТ]]),0)</f>
        <v>100000</v>
      </c>
      <c r="K25" s="18">
        <v>104255</v>
      </c>
      <c r="L25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-4255</v>
      </c>
      <c r="M25" s="13" t="str">
        <f>IF(Таблица1[[#This Row],[Форма контрактации]]="ГПХ", Таблица1[[#This Row],[Итого без овертаймов]]*7.6%, "0")</f>
        <v>0</v>
      </c>
      <c r="N25" s="13">
        <f>ROUND(Таблица1[[#This Row],[Итого без овертаймов]]+Таблица1[[#This Row],[Страховые взносы 7,8%]],0)</f>
        <v>100000</v>
      </c>
      <c r="O25" s="90">
        <v>45992</v>
      </c>
      <c r="P25" s="90">
        <v>45992</v>
      </c>
      <c r="Q25" s="14"/>
    </row>
    <row r="26" spans="1:17" x14ac:dyDescent="0.3">
      <c r="A26" s="19">
        <v>45992</v>
      </c>
      <c r="B26" s="9" t="s">
        <v>14</v>
      </c>
      <c r="C26" s="10" t="s">
        <v>13</v>
      </c>
      <c r="D26" s="12">
        <v>0</v>
      </c>
      <c r="E26" s="11" t="s">
        <v>6</v>
      </c>
      <c r="F26" s="12">
        <v>0.34</v>
      </c>
      <c r="G26" s="91">
        <f>ROUND(Таблица1[[#This Row],[Загрузка респлан]]*VLOOKUP(Таблица1[[#This Row],[Месяц выполнения работ]],технический!$A$1:$B$25,2,FALSE),0)</f>
        <v>60</v>
      </c>
      <c r="H26" s="10">
        <v>71</v>
      </c>
      <c r="I26" s="13">
        <v>2127.66</v>
      </c>
      <c r="J26" s="18">
        <f>ROUND(I26*IF(Таблица1[[#This Row],[Часы 
ФАКТ]]="",Таблица1[[#This Row],[Часы 
ПЛАН]],Таблица1[[#This Row],[Часы 
ФАКТ]]),0)</f>
        <v>151064</v>
      </c>
      <c r="K26" s="18">
        <v>253192</v>
      </c>
      <c r="L26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-102128</v>
      </c>
      <c r="M26" s="13" t="str">
        <f>IF(Таблица1[[#This Row],[Форма контрактации]]="ГПХ", Таблица1[[#This Row],[Итого без овертаймов]]*7.6%, "0")</f>
        <v>0</v>
      </c>
      <c r="N26" s="13">
        <f>ROUND(Таблица1[[#This Row],[Итого без овертаймов]]+Таблица1[[#This Row],[Страховые взносы 7,8%]],0)</f>
        <v>151064</v>
      </c>
      <c r="O26" s="90">
        <v>46023</v>
      </c>
      <c r="P26" s="90">
        <v>46023</v>
      </c>
      <c r="Q26" s="14"/>
    </row>
    <row r="27" spans="1:17" x14ac:dyDescent="0.3">
      <c r="A27" s="19">
        <v>45809</v>
      </c>
      <c r="B27" s="9" t="s">
        <v>15</v>
      </c>
      <c r="C27" s="10" t="s">
        <v>16</v>
      </c>
      <c r="D27" s="12">
        <v>0</v>
      </c>
      <c r="E27" s="9" t="s">
        <v>17</v>
      </c>
      <c r="F27" s="12">
        <v>0.69</v>
      </c>
      <c r="G27" s="10">
        <f>ROUND(Таблица1[[#This Row],[Загрузка респлан]]*VLOOKUP(Таблица1[[#This Row],[Месяц выполнения работ]],технический!$A$1:$B$25,2,FALSE),0)</f>
        <v>104</v>
      </c>
      <c r="H27" s="10">
        <v>104</v>
      </c>
      <c r="I27" s="13">
        <v>2710</v>
      </c>
      <c r="J27" s="18">
        <f>ROUND(I27*IF(Таблица1[[#This Row],[Часы 
ФАКТ]]="",Таблица1[[#This Row],[Часы 
ПЛАН]],Таблица1[[#This Row],[Часы 
ФАКТ]]),0)</f>
        <v>281840</v>
      </c>
      <c r="K27" s="18">
        <v>0</v>
      </c>
      <c r="L27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303260</v>
      </c>
      <c r="M27" s="13">
        <f>IF(Таблица1[[#This Row],[Форма контрактации]]="ГПХ", Таблица1[[#This Row],[Итого без овертаймов]]*7.6%, "0")</f>
        <v>21419.84</v>
      </c>
      <c r="N27" s="13">
        <f>ROUND(Таблица1[[#This Row],[Итого без овертаймов]]+Таблица1[[#This Row],[Страховые взносы 7,8%]],0)</f>
        <v>303260</v>
      </c>
      <c r="O27" s="90">
        <v>45870</v>
      </c>
      <c r="P27" s="90">
        <v>45870</v>
      </c>
      <c r="Q27" s="14" t="s">
        <v>57</v>
      </c>
    </row>
    <row r="28" spans="1:17" x14ac:dyDescent="0.3">
      <c r="A28" s="19">
        <v>45839</v>
      </c>
      <c r="B28" s="9" t="s">
        <v>15</v>
      </c>
      <c r="C28" s="10" t="s">
        <v>16</v>
      </c>
      <c r="D28" s="12">
        <v>0</v>
      </c>
      <c r="E28" s="9" t="s">
        <v>17</v>
      </c>
      <c r="F28" s="12">
        <v>0.3</v>
      </c>
      <c r="G28" s="10">
        <f>ROUND(Таблица1[[#This Row],[Загрузка респлан]]*VLOOKUP(Таблица1[[#This Row],[Месяц выполнения работ]],технический!$A$1:$B$25,2,FALSE),0)</f>
        <v>55</v>
      </c>
      <c r="H28" s="10">
        <v>56</v>
      </c>
      <c r="I28" s="13">
        <v>2710</v>
      </c>
      <c r="J28" s="18">
        <f>ROUND(I28*IF(Таблица1[[#This Row],[Часы 
ФАКТ]]="",Таблица1[[#This Row],[Часы 
ПЛАН]],Таблица1[[#This Row],[Часы 
ФАКТ]]),0)</f>
        <v>151760</v>
      </c>
      <c r="K28" s="18">
        <v>0</v>
      </c>
      <c r="L28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163294</v>
      </c>
      <c r="M28" s="13">
        <f>IF(Таблица1[[#This Row],[Форма контрактации]]="ГПХ", Таблица1[[#This Row],[Итого без овертаймов]]*7.6%, "0")</f>
        <v>11533.76</v>
      </c>
      <c r="N28" s="13">
        <f>ROUND(Таблица1[[#This Row],[Итого без овертаймов]]+Таблица1[[#This Row],[Страховые взносы 7,8%]],0)</f>
        <v>163294</v>
      </c>
      <c r="O28" s="90">
        <v>45870</v>
      </c>
      <c r="P28" s="90">
        <v>45870</v>
      </c>
      <c r="Q28" s="14" t="s">
        <v>57</v>
      </c>
    </row>
    <row r="29" spans="1:17" x14ac:dyDescent="0.3">
      <c r="A29" s="19">
        <v>45870</v>
      </c>
      <c r="B29" s="9" t="s">
        <v>15</v>
      </c>
      <c r="C29" s="10" t="s">
        <v>16</v>
      </c>
      <c r="D29" s="12">
        <v>0</v>
      </c>
      <c r="E29" s="9" t="s">
        <v>17</v>
      </c>
      <c r="F29" s="12">
        <v>0.34</v>
      </c>
      <c r="G29" s="10">
        <f>ROUND(Таблица1[[#This Row],[Загрузка респлан]]*VLOOKUP(Таблица1[[#This Row],[Месяц выполнения работ]],технический!$A$1:$B$25,2,FALSE),0)</f>
        <v>57</v>
      </c>
      <c r="H29" s="10">
        <v>57</v>
      </c>
      <c r="I29" s="13">
        <v>2710</v>
      </c>
      <c r="J29" s="18">
        <f>ROUND(I29*IF(Таблица1[[#This Row],[Часы 
ФАКТ]]="",Таблица1[[#This Row],[Часы 
ПЛАН]],Таблица1[[#This Row],[Часы 
ФАКТ]]),0)</f>
        <v>154470</v>
      </c>
      <c r="K29" s="18">
        <v>466554</v>
      </c>
      <c r="L29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-300344</v>
      </c>
      <c r="M29" s="13">
        <f>IF(Таблица1[[#This Row],[Форма контрактации]]="ГПХ", Таблица1[[#This Row],[Итого без овертаймов]]*7.6%, "0")</f>
        <v>11739.72</v>
      </c>
      <c r="N29" s="13">
        <f>ROUND(Таблица1[[#This Row],[Итого без овертаймов]]+Таблица1[[#This Row],[Страховые взносы 7,8%]],0)</f>
        <v>166210</v>
      </c>
      <c r="O29" s="90">
        <v>45901</v>
      </c>
      <c r="P29" s="90">
        <v>45901</v>
      </c>
      <c r="Q29" s="14" t="s">
        <v>63</v>
      </c>
    </row>
    <row r="30" spans="1:17" x14ac:dyDescent="0.3">
      <c r="A30" s="19">
        <v>45901</v>
      </c>
      <c r="B30" s="9" t="s">
        <v>15</v>
      </c>
      <c r="C30" s="10" t="s">
        <v>16</v>
      </c>
      <c r="D30" s="12">
        <v>0</v>
      </c>
      <c r="E30" s="9" t="s">
        <v>17</v>
      </c>
      <c r="F30" s="12">
        <v>0.71</v>
      </c>
      <c r="G30" s="10">
        <f>ROUND(Таблица1[[#This Row],[Загрузка респлан]]*VLOOKUP(Таблица1[[#This Row],[Месяц выполнения работ]],технический!$A$1:$B$25,2,FALSE),0)</f>
        <v>125</v>
      </c>
      <c r="H30" s="10">
        <v>125</v>
      </c>
      <c r="I30" s="13">
        <v>2710</v>
      </c>
      <c r="J30" s="18">
        <f>ROUND(I30*IF(Таблица1[[#This Row],[Часы 
ФАКТ]]="",Таблица1[[#This Row],[Часы 
ПЛАН]],Таблица1[[#This Row],[Часы 
ФАКТ]]),0)</f>
        <v>338750</v>
      </c>
      <c r="K30" s="18">
        <v>166210</v>
      </c>
      <c r="L30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198285</v>
      </c>
      <c r="M30" s="13">
        <f>IF(Таблица1[[#This Row],[Форма контрактации]]="ГПХ", Таблица1[[#This Row],[Итого без овертаймов]]*7.6%, "0")</f>
        <v>25745</v>
      </c>
      <c r="N30" s="13">
        <f>ROUND(Таблица1[[#This Row],[Итого без овертаймов]]+Таблица1[[#This Row],[Страховые взносы 7,8%]],0)</f>
        <v>364495</v>
      </c>
      <c r="O30" s="90">
        <v>45931</v>
      </c>
      <c r="P30" s="90">
        <v>45931</v>
      </c>
      <c r="Q30" s="14" t="s">
        <v>64</v>
      </c>
    </row>
    <row r="31" spans="1:17" x14ac:dyDescent="0.3">
      <c r="A31" s="19">
        <v>45931</v>
      </c>
      <c r="B31" s="9" t="s">
        <v>15</v>
      </c>
      <c r="C31" s="10" t="s">
        <v>16</v>
      </c>
      <c r="D31" s="12">
        <v>0</v>
      </c>
      <c r="E31" s="9" t="s">
        <v>17</v>
      </c>
      <c r="F31" s="12">
        <v>0</v>
      </c>
      <c r="G31" s="10">
        <f>ROUND(Таблица1[[#This Row],[Загрузка респлан]]*VLOOKUP(Таблица1[[#This Row],[Месяц выполнения работ]],технический!$A$1:$B$25,2,FALSE),0)</f>
        <v>0</v>
      </c>
      <c r="H31" s="10">
        <v>0</v>
      </c>
      <c r="I31" s="13">
        <v>2710</v>
      </c>
      <c r="J31" s="18">
        <f>ROUND(I31*IF(Таблица1[[#This Row],[Часы 
ФАКТ]]="",Таблица1[[#This Row],[Часы 
ПЛАН]],Таблица1[[#This Row],[Часы 
ФАКТ]]),0)</f>
        <v>0</v>
      </c>
      <c r="K31" s="18">
        <v>364495</v>
      </c>
      <c r="L31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-364495</v>
      </c>
      <c r="M31" s="13">
        <f>IF(Таблица1[[#This Row],[Форма контрактации]]="ГПХ", Таблица1[[#This Row],[Итого без овертаймов]]*7.6%, "0")</f>
        <v>0</v>
      </c>
      <c r="N31" s="13">
        <f>ROUND(Таблица1[[#This Row],[Итого без овертаймов]]+Таблица1[[#This Row],[Страховые взносы 7,8%]],0)</f>
        <v>0</v>
      </c>
      <c r="O31" s="90"/>
      <c r="P31" s="90"/>
      <c r="Q31" s="14" t="s">
        <v>65</v>
      </c>
    </row>
    <row r="32" spans="1:17" x14ac:dyDescent="0.3">
      <c r="A32" s="19">
        <v>45778</v>
      </c>
      <c r="B32" s="9" t="s">
        <v>19</v>
      </c>
      <c r="C32" s="10" t="s">
        <v>13</v>
      </c>
      <c r="D32" s="12">
        <v>0</v>
      </c>
      <c r="E32" s="9" t="s">
        <v>25</v>
      </c>
      <c r="F32" s="12">
        <v>0.17</v>
      </c>
      <c r="G32" s="10">
        <f>ROUND(Таблица1[[#This Row],[Загрузка респлан]]*VLOOKUP(Таблица1[[#This Row],[Месяц выполнения работ]],технический!$A$1:$B$25,2,FALSE),0)</f>
        <v>24</v>
      </c>
      <c r="H32" s="10">
        <v>24</v>
      </c>
      <c r="I32" s="13">
        <v>3600</v>
      </c>
      <c r="J32" s="18">
        <f>ROUND(I32*IF(Таблица1[[#This Row],[Часы 
ФАКТ]]="",Таблица1[[#This Row],[Часы 
ПЛАН]],Таблица1[[#This Row],[Часы 
ФАКТ]]),0)</f>
        <v>86400</v>
      </c>
      <c r="K32" s="18">
        <v>0</v>
      </c>
      <c r="L32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86400</v>
      </c>
      <c r="M32" s="13" t="str">
        <f>IF(Таблица1[[#This Row],[Форма контрактации]]="ГПХ", Таблица1[[#This Row],[Итого без овертаймов]]*7.6%, "0")</f>
        <v>0</v>
      </c>
      <c r="N32" s="13">
        <f>ROUND(Таблица1[[#This Row],[Итого без овертаймов]]+Таблица1[[#This Row],[Страховые взносы 7,8%]],0)</f>
        <v>86400</v>
      </c>
      <c r="O32" s="90">
        <v>45839</v>
      </c>
      <c r="P32" s="90">
        <v>45870</v>
      </c>
      <c r="Q32" s="14" t="s">
        <v>58</v>
      </c>
    </row>
    <row r="33" spans="1:17" x14ac:dyDescent="0.3">
      <c r="A33" s="19">
        <v>45809</v>
      </c>
      <c r="B33" s="9" t="s">
        <v>19</v>
      </c>
      <c r="C33" s="10" t="s">
        <v>13</v>
      </c>
      <c r="D33" s="12">
        <v>0</v>
      </c>
      <c r="E33" s="9" t="s">
        <v>25</v>
      </c>
      <c r="F33" s="12">
        <v>0.56000000000000005</v>
      </c>
      <c r="G33" s="10">
        <f>ROUND(Таблица1[[#This Row],[Загрузка респлан]]*VLOOKUP(Таблица1[[#This Row],[Месяц выполнения работ]],технический!$A$1:$B$25,2,FALSE),0)</f>
        <v>85</v>
      </c>
      <c r="H33" s="10">
        <v>84</v>
      </c>
      <c r="I33" s="13">
        <v>3600</v>
      </c>
      <c r="J33" s="18">
        <f>ROUND(I33*IF(Таблица1[[#This Row],[Часы 
ФАКТ]]="",Таблица1[[#This Row],[Часы 
ПЛАН]],Таблица1[[#This Row],[Часы 
ФАКТ]]),0)</f>
        <v>302400</v>
      </c>
      <c r="K33" s="18">
        <v>0</v>
      </c>
      <c r="L33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302400</v>
      </c>
      <c r="M33" s="13" t="str">
        <f>IF(Таблица1[[#This Row],[Форма контрактации]]="ГПХ", Таблица1[[#This Row],[Итого без овертаймов]]*7.6%, "0")</f>
        <v>0</v>
      </c>
      <c r="N33" s="13">
        <f>ROUND(Таблица1[[#This Row],[Итого без овертаймов]]+Таблица1[[#This Row],[Страховые взносы 7,8%]],0)</f>
        <v>302400</v>
      </c>
      <c r="O33" s="90">
        <v>45839</v>
      </c>
      <c r="P33" s="90">
        <v>45870</v>
      </c>
      <c r="Q33" s="14" t="s">
        <v>58</v>
      </c>
    </row>
    <row r="34" spans="1:17" x14ac:dyDescent="0.3">
      <c r="A34" s="19">
        <v>45870</v>
      </c>
      <c r="B34" s="9" t="s">
        <v>19</v>
      </c>
      <c r="C34" s="10" t="s">
        <v>13</v>
      </c>
      <c r="D34" s="12">
        <v>0</v>
      </c>
      <c r="E34" s="9" t="s">
        <v>25</v>
      </c>
      <c r="F34" s="12">
        <v>0.5</v>
      </c>
      <c r="G34" s="10">
        <f>ROUND(Таблица1[[#This Row],[Загрузка респлан]]*VLOOKUP(Таблица1[[#This Row],[Месяц выполнения работ]],технический!$A$1:$B$25,2,FALSE),0)</f>
        <v>84</v>
      </c>
      <c r="H34" s="10">
        <v>84</v>
      </c>
      <c r="I34" s="13">
        <v>3600</v>
      </c>
      <c r="J34" s="18">
        <f>ROUND(I34*IF(Таблица1[[#This Row],[Часы 
ФАКТ]]="",Таблица1[[#This Row],[Часы 
ПЛАН]],Таблица1[[#This Row],[Часы 
ФАКТ]]),0)</f>
        <v>302400</v>
      </c>
      <c r="K34" s="18">
        <v>388800</v>
      </c>
      <c r="L34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-86400</v>
      </c>
      <c r="M34" s="13" t="str">
        <f>IF(Таблица1[[#This Row],[Форма контрактации]]="ГПХ", Таблица1[[#This Row],[Итого без овертаймов]]*7.6%, "0")</f>
        <v>0</v>
      </c>
      <c r="N34" s="13">
        <f>ROUND(Таблица1[[#This Row],[Итого без овертаймов]]+Таблица1[[#This Row],[Страховые взносы 7,8%]],0)</f>
        <v>302400</v>
      </c>
      <c r="O34" s="90">
        <v>45931</v>
      </c>
      <c r="P34" s="90">
        <v>45931</v>
      </c>
      <c r="Q34" s="14" t="s">
        <v>70</v>
      </c>
    </row>
    <row r="35" spans="1:17" x14ac:dyDescent="0.3">
      <c r="A35" s="19">
        <v>45931</v>
      </c>
      <c r="B35" s="9" t="s">
        <v>19</v>
      </c>
      <c r="C35" s="10" t="s">
        <v>13</v>
      </c>
      <c r="D35" s="12">
        <v>0</v>
      </c>
      <c r="E35" s="9" t="s">
        <v>25</v>
      </c>
      <c r="F35" s="12">
        <v>0</v>
      </c>
      <c r="G35" s="91">
        <f>ROUND(Таблица1[[#This Row],[Загрузка респлан]]*VLOOKUP(Таблица1[[#This Row],[Месяц выполнения работ]],технический!$A$1:$B$25,2,FALSE),0)</f>
        <v>0</v>
      </c>
      <c r="H35" s="10">
        <v>0</v>
      </c>
      <c r="I35" s="13">
        <v>3600</v>
      </c>
      <c r="J35" s="18">
        <f>ROUND(I35*IF(Таблица1[[#This Row],[Часы 
ФАКТ]]="",Таблица1[[#This Row],[Часы 
ПЛАН]],Таблица1[[#This Row],[Часы 
ФАКТ]]),0)</f>
        <v>0</v>
      </c>
      <c r="K35" s="18">
        <v>302400</v>
      </c>
      <c r="L35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-302400</v>
      </c>
      <c r="M35" s="13" t="str">
        <f>IF(Таблица1[[#This Row],[Форма контрактации]]="ГПХ", Таблица1[[#This Row],[Итого без овертаймов]]*7.6%, "0")</f>
        <v>0</v>
      </c>
      <c r="N35" s="13">
        <f>ROUND(Таблица1[[#This Row],[Итого без овертаймов]]+Таблица1[[#This Row],[Страховые взносы 7,8%]],0)</f>
        <v>0</v>
      </c>
      <c r="O35" s="90"/>
      <c r="P35" s="90"/>
      <c r="Q35" s="14"/>
    </row>
    <row r="36" spans="1:17" x14ac:dyDescent="0.3">
      <c r="A36" s="19">
        <v>45778</v>
      </c>
      <c r="B36" s="9" t="s">
        <v>20</v>
      </c>
      <c r="C36" s="10" t="s">
        <v>13</v>
      </c>
      <c r="D36" s="12">
        <v>0</v>
      </c>
      <c r="E36" s="9" t="s">
        <v>23</v>
      </c>
      <c r="F36" s="12">
        <v>0.28000000000000003</v>
      </c>
      <c r="G36" s="10">
        <f>ROUND(Таблица1[[#This Row],[Загрузка респлан]]*VLOOKUP(Таблица1[[#This Row],[Месяц выполнения работ]],технический!$A$1:$B$25,2,FALSE),0)</f>
        <v>40</v>
      </c>
      <c r="H36" s="10">
        <v>40</v>
      </c>
      <c r="I36" s="13">
        <v>3130</v>
      </c>
      <c r="J36" s="18">
        <f>ROUND(I36*IF(Таблица1[[#This Row],[Часы 
ФАКТ]]="",Таблица1[[#This Row],[Часы 
ПЛАН]],Таблица1[[#This Row],[Часы 
ФАКТ]]),0)</f>
        <v>125200</v>
      </c>
      <c r="K36" s="18">
        <v>0</v>
      </c>
      <c r="L36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125200</v>
      </c>
      <c r="M36" s="13" t="str">
        <f>IF(Таблица1[[#This Row],[Форма контрактации]]="ГПХ", Таблица1[[#This Row],[Итого без овертаймов]]*7.6%, "0")</f>
        <v>0</v>
      </c>
      <c r="N36" s="13">
        <f>ROUND(Таблица1[[#This Row],[Итого без овертаймов]]+Таблица1[[#This Row],[Страховые взносы 7,8%]],0)</f>
        <v>125200</v>
      </c>
      <c r="O36" s="90">
        <v>45839</v>
      </c>
      <c r="P36" s="90">
        <v>45839</v>
      </c>
      <c r="Q36" s="14" t="s">
        <v>59</v>
      </c>
    </row>
    <row r="37" spans="1:17" x14ac:dyDescent="0.3">
      <c r="A37" s="19">
        <v>45809</v>
      </c>
      <c r="B37" s="9" t="s">
        <v>20</v>
      </c>
      <c r="C37" s="10" t="s">
        <v>13</v>
      </c>
      <c r="D37" s="12">
        <v>0</v>
      </c>
      <c r="E37" s="9" t="s">
        <v>23</v>
      </c>
      <c r="F37" s="12">
        <v>0.85</v>
      </c>
      <c r="G37" s="10">
        <f>ROUND(Таблица1[[#This Row],[Загрузка респлан]]*VLOOKUP(Таблица1[[#This Row],[Месяц выполнения работ]],технический!$A$1:$B$25,2,FALSE),0)</f>
        <v>128</v>
      </c>
      <c r="H37" s="10">
        <v>128</v>
      </c>
      <c r="I37" s="13">
        <v>3130</v>
      </c>
      <c r="J37" s="18">
        <f>ROUND(I37*IF(Таблица1[[#This Row],[Часы 
ФАКТ]]="",Таблица1[[#This Row],[Часы 
ПЛАН]],Таблица1[[#This Row],[Часы 
ФАКТ]]),0)</f>
        <v>400640</v>
      </c>
      <c r="K37" s="18">
        <v>0</v>
      </c>
      <c r="L37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400640</v>
      </c>
      <c r="M37" s="13" t="str">
        <f>IF(Таблица1[[#This Row],[Форма контрактации]]="ГПХ", Таблица1[[#This Row],[Итого без овертаймов]]*7.6%, "0")</f>
        <v>0</v>
      </c>
      <c r="N37" s="13">
        <f>ROUND(Таблица1[[#This Row],[Итого без овертаймов]]+Таблица1[[#This Row],[Страховые взносы 7,8%]],0)</f>
        <v>400640</v>
      </c>
      <c r="O37" s="90">
        <v>45839</v>
      </c>
      <c r="P37" s="90">
        <v>45839</v>
      </c>
      <c r="Q37" s="14" t="s">
        <v>59</v>
      </c>
    </row>
    <row r="38" spans="1:17" x14ac:dyDescent="0.3">
      <c r="A38" s="19">
        <v>45839</v>
      </c>
      <c r="B38" s="9" t="s">
        <v>20</v>
      </c>
      <c r="C38" s="10" t="s">
        <v>13</v>
      </c>
      <c r="D38" s="12">
        <v>0</v>
      </c>
      <c r="E38" s="9" t="s">
        <v>23</v>
      </c>
      <c r="F38" s="12">
        <v>0</v>
      </c>
      <c r="G38" s="10">
        <f>ROUND(Таблица1[[#This Row],[Загрузка респлан]]*VLOOKUP(Таблица1[[#This Row],[Месяц выполнения работ]],технический!$A$1:$B$25,2,FALSE),0)</f>
        <v>0</v>
      </c>
      <c r="H38" s="10"/>
      <c r="I38" s="13"/>
      <c r="J38" s="18">
        <f>ROUND(I38*IF(Таблица1[[#This Row],[Часы 
ФАКТ]]="",Таблица1[[#This Row],[Часы 
ПЛАН]],Таблица1[[#This Row],[Часы 
ФАКТ]]),0)</f>
        <v>0</v>
      </c>
      <c r="K38" s="18">
        <v>525840</v>
      </c>
      <c r="L38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-525840</v>
      </c>
      <c r="M38" s="13" t="str">
        <f>IF(Таблица1[[#This Row],[Форма контрактации]]="ГПХ", Таблица1[[#This Row],[Итого без овертаймов]]*7.6%, "0")</f>
        <v>0</v>
      </c>
      <c r="N38" s="13">
        <f>ROUND(Таблица1[[#This Row],[Итого без овертаймов]]+Таблица1[[#This Row],[Страховые взносы 7,8%]],0)</f>
        <v>0</v>
      </c>
      <c r="O38" s="90"/>
      <c r="P38" s="90"/>
      <c r="Q38" s="14"/>
    </row>
    <row r="39" spans="1:17" x14ac:dyDescent="0.3">
      <c r="A39" s="19">
        <v>45809</v>
      </c>
      <c r="B39" s="9" t="s">
        <v>21</v>
      </c>
      <c r="C39" s="10" t="s">
        <v>22</v>
      </c>
      <c r="D39" s="12">
        <v>0</v>
      </c>
      <c r="E39" s="9" t="s">
        <v>24</v>
      </c>
      <c r="F39" s="12">
        <v>0.34</v>
      </c>
      <c r="G39" s="10">
        <f>ROUND(Таблица1[[#This Row],[Загрузка респлан]]*VLOOKUP(Таблица1[[#This Row],[Месяц выполнения работ]],технический!$A$1:$B$25,2,FALSE),0)</f>
        <v>51</v>
      </c>
      <c r="H39" s="10">
        <v>52</v>
      </c>
      <c r="I39" s="13">
        <v>2500</v>
      </c>
      <c r="J39" s="18">
        <f>ROUND(I39*IF(Таблица1[[#This Row],[Часы 
ФАКТ]]="",Таблица1[[#This Row],[Часы 
ПЛАН]],Таблица1[[#This Row],[Часы 
ФАКТ]]),0)</f>
        <v>130000</v>
      </c>
      <c r="K39" s="18">
        <v>0</v>
      </c>
      <c r="L39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130000</v>
      </c>
      <c r="M39" s="13" t="str">
        <f>IF(Таблица1[[#This Row],[Форма контрактации]]="ГПХ", Таблица1[[#This Row],[Итого без овертаймов]]*7.6%, "0")</f>
        <v>0</v>
      </c>
      <c r="N39" s="13">
        <f>ROUND(Таблица1[[#This Row],[Итого без овертаймов]]+Таблица1[[#This Row],[Страховые взносы 7,8%]],0)</f>
        <v>130000</v>
      </c>
      <c r="O39" s="90">
        <v>45839</v>
      </c>
      <c r="P39" s="90">
        <v>45870</v>
      </c>
      <c r="Q39" s="14" t="s">
        <v>57</v>
      </c>
    </row>
    <row r="40" spans="1:17" x14ac:dyDescent="0.3">
      <c r="A40" s="19">
        <v>45870</v>
      </c>
      <c r="B40" s="9" t="s">
        <v>21</v>
      </c>
      <c r="C40" s="10" t="s">
        <v>22</v>
      </c>
      <c r="D40" s="12">
        <v>0</v>
      </c>
      <c r="E40" s="9" t="s">
        <v>24</v>
      </c>
      <c r="F40" s="12">
        <v>0</v>
      </c>
      <c r="G40" s="10">
        <f>ROUND(Таблица1[[#This Row],[Загрузка респлан]]*VLOOKUP(Таблица1[[#This Row],[Месяц выполнения работ]],технический!$A$1:$B$25,2,FALSE),0)</f>
        <v>0</v>
      </c>
      <c r="H40" s="10">
        <v>0</v>
      </c>
      <c r="I40" s="13">
        <v>2500</v>
      </c>
      <c r="J40" s="18">
        <f>ROUND(I40*IF(Таблица1[[#This Row],[Часы 
ФАКТ]]="",Таблица1[[#This Row],[Часы 
ПЛАН]],Таблица1[[#This Row],[Часы 
ФАКТ]]),0)</f>
        <v>0</v>
      </c>
      <c r="K40" s="18">
        <v>130000</v>
      </c>
      <c r="L40" s="13">
        <f>IF(Таблица1[[#This Row],[Форма контрактации]]="ГПХ", Таблица1[[#This Row],[Итого со страховыми]]-Таблица1[[#This Row],[Заложено в ФП]], Таблица1[[#This Row],[Итого без овертаймов]]-Таблица1[[#This Row],[Заложено в ФП]])</f>
        <v>-130000</v>
      </c>
      <c r="M40" s="13" t="str">
        <f>IF(Таблица1[[#This Row],[Форма контрактации]]="ГПХ", Таблица1[[#This Row],[Итого без овертаймов]]*7.6%, "0")</f>
        <v>0</v>
      </c>
      <c r="N40" s="13">
        <f>ROUND(Таблица1[[#This Row],[Итого без овертаймов]]+Таблица1[[#This Row],[Страховые взносы 7,8%]],0)</f>
        <v>0</v>
      </c>
      <c r="O40" s="90"/>
      <c r="P40" s="90"/>
      <c r="Q40" s="14"/>
    </row>
    <row r="41" spans="1:17" x14ac:dyDescent="0.3">
      <c r="A41" s="15" t="s">
        <v>26</v>
      </c>
      <c r="B41" s="16"/>
      <c r="C41" s="16"/>
      <c r="D41" s="16"/>
      <c r="E41" s="16"/>
      <c r="F41" s="87">
        <f>SUBTOTAL(109,Таблица1[Загрузка респлан])</f>
        <v>8.4500000000000011</v>
      </c>
      <c r="G41" s="17">
        <f>SUBTOTAL(109,Таблица1[Часы 
ПЛАН])</f>
        <v>1355</v>
      </c>
      <c r="H41" s="17">
        <f>SUBTOTAL(109,Таблица1[Часы 
ФАКТ])</f>
        <v>1364.33</v>
      </c>
      <c r="I41" s="17"/>
      <c r="J41" s="93">
        <f>SUBTOTAL(109,Таблица1[Итого без овертаймов])</f>
        <v>3572435</v>
      </c>
      <c r="K41" s="25">
        <f>SUBTOTAL(109,Таблица1[Заложено в ФП])</f>
        <v>3645002</v>
      </c>
      <c r="L41" s="93">
        <f>SUBTOTAL(109,Таблица1[Сумма изменений])</f>
        <v>-2128</v>
      </c>
      <c r="M41" s="93">
        <f>SUBTOTAL(109,Таблица1[Страховые взносы 7,8%])</f>
        <v>70438.320000000007</v>
      </c>
      <c r="N41" s="93">
        <f>SUBTOTAL(109,Таблица1[Итого со страховыми])</f>
        <v>3642874</v>
      </c>
      <c r="O41" s="23"/>
      <c r="P41" s="23"/>
      <c r="Q41" s="24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9162-6040-414B-AB39-A0C66D63AB61}">
  <dimension ref="A13:J16"/>
  <sheetViews>
    <sheetView workbookViewId="0">
      <selection activeCell="B14" sqref="B14"/>
    </sheetView>
  </sheetViews>
  <sheetFormatPr defaultRowHeight="14.4" x14ac:dyDescent="0.3"/>
  <cols>
    <col min="1" max="1" width="14.109375" customWidth="1"/>
    <col min="2" max="2" width="21.44140625" customWidth="1"/>
    <col min="3" max="3" width="11.44140625" customWidth="1"/>
    <col min="4" max="4" width="14.33203125" customWidth="1"/>
    <col min="5" max="5" width="17.33203125" customWidth="1"/>
    <col min="6" max="6" width="16.109375" customWidth="1"/>
    <col min="7" max="7" width="16.6640625" customWidth="1"/>
    <col min="8" max="8" width="18.33203125" customWidth="1"/>
    <col min="9" max="9" width="15.109375" customWidth="1"/>
    <col min="10" max="10" width="17.109375" customWidth="1"/>
  </cols>
  <sheetData>
    <row r="13" spans="1:10" ht="41.4" x14ac:dyDescent="0.3">
      <c r="A13" s="7" t="s">
        <v>2</v>
      </c>
      <c r="B13" s="2" t="s">
        <v>72</v>
      </c>
      <c r="C13" s="2" t="s">
        <v>41</v>
      </c>
      <c r="D13" s="2" t="s">
        <v>73</v>
      </c>
      <c r="E13" s="2" t="s">
        <v>74</v>
      </c>
      <c r="F13" s="2" t="s">
        <v>75</v>
      </c>
      <c r="G13" s="3" t="s">
        <v>76</v>
      </c>
      <c r="H13" s="4" t="s">
        <v>11</v>
      </c>
      <c r="I13" s="4" t="s">
        <v>77</v>
      </c>
      <c r="J13" s="8" t="s">
        <v>5</v>
      </c>
    </row>
    <row r="14" spans="1:10" x14ac:dyDescent="0.3">
      <c r="A14" s="95">
        <v>45992</v>
      </c>
      <c r="B14" s="96" t="s">
        <v>78</v>
      </c>
      <c r="C14" s="97">
        <v>0.2</v>
      </c>
      <c r="D14" s="98">
        <v>37500000</v>
      </c>
      <c r="E14" s="99">
        <f>Таблица2[[#This Row],[Итого за период 
без НДС]]*(1+IF(ISNUMBER(Таблица2[[#This Row],[Ставка НДС]]),Таблица2[[#This Row],[Ставка НДС]],Таблица2[[#This Row],[Ставка НДС]]/100))</f>
        <v>45000000</v>
      </c>
      <c r="F14" s="99">
        <v>0</v>
      </c>
      <c r="G14" s="100">
        <f xml:space="preserve"> Таблица2[[#This Row],[Итого за период 
с НДС]]-Таблица2[[#This Row],[Заложено в ФП с НДС]]</f>
        <v>45000000</v>
      </c>
      <c r="H14" s="101">
        <v>45992</v>
      </c>
      <c r="I14" s="101">
        <v>45992</v>
      </c>
      <c r="J14" s="102"/>
    </row>
    <row r="15" spans="1:10" x14ac:dyDescent="0.3">
      <c r="A15" s="95">
        <v>46143</v>
      </c>
      <c r="B15" s="96" t="s">
        <v>79</v>
      </c>
      <c r="C15" s="97">
        <v>0.22</v>
      </c>
      <c r="D15" s="98">
        <v>8970462</v>
      </c>
      <c r="E15" s="99">
        <f>Таблица2[[#This Row],[Итого за период 
без НДС]]*(1+IF(ISNUMBER(Таблица2[[#This Row],[Ставка НДС]]),Таблица2[[#This Row],[Ставка НДС]],Таблица2[[#This Row],[Ставка НДС]]/100))</f>
        <v>10943963.640000001</v>
      </c>
      <c r="F15" s="99">
        <v>10943963.640000001</v>
      </c>
      <c r="G15" s="100">
        <f xml:space="preserve"> Таблица2[[#This Row],[Итого за период 
с НДС]]-Таблица2[[#This Row],[Заложено в ФП с НДС]]</f>
        <v>0</v>
      </c>
      <c r="H15" s="101">
        <v>46143</v>
      </c>
      <c r="I15" s="101">
        <v>46143</v>
      </c>
      <c r="J15" s="102"/>
    </row>
    <row r="16" spans="1:10" x14ac:dyDescent="0.3">
      <c r="A16" s="103" t="s">
        <v>26</v>
      </c>
      <c r="B16" s="104"/>
      <c r="C16" s="104"/>
      <c r="D16" s="105">
        <f>SUBTOTAL(109,Таблица2[Итого за период 
без НДС])</f>
        <v>46470462</v>
      </c>
      <c r="E16" s="105">
        <f>SUBTOTAL(109,Таблица2[Итого за период 
с НДС])</f>
        <v>55943963.640000001</v>
      </c>
      <c r="F16" s="105">
        <f>SUBTOTAL(109,Таблица2[Заложено в ФП с НДС])</f>
        <v>10943963.640000001</v>
      </c>
      <c r="G16" s="106">
        <f>SUBTOTAL(109,Таблица2[Сумма изменений с НДС])</f>
        <v>45000000</v>
      </c>
      <c r="H16" s="107"/>
      <c r="I16" s="107"/>
      <c r="J16" s="108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7B4F-B210-4657-A145-E2FBC2DC7EFC}">
  <dimension ref="A1:H10"/>
  <sheetViews>
    <sheetView workbookViewId="0">
      <selection activeCell="C12" sqref="C12"/>
    </sheetView>
  </sheetViews>
  <sheetFormatPr defaultRowHeight="14.4" x14ac:dyDescent="0.3"/>
  <cols>
    <col min="1" max="1" width="22.6640625" customWidth="1"/>
    <col min="2" max="2" width="24.5546875" customWidth="1"/>
    <col min="3" max="3" width="13.88671875" customWidth="1"/>
    <col min="4" max="4" width="21.6640625" customWidth="1"/>
    <col min="5" max="5" width="13.5546875" customWidth="1"/>
    <col min="6" max="6" width="20.5546875" customWidth="1"/>
    <col min="7" max="7" width="12.44140625" customWidth="1"/>
    <col min="8" max="8" width="18" bestFit="1" customWidth="1"/>
  </cols>
  <sheetData>
    <row r="1" spans="1:8" x14ac:dyDescent="0.3">
      <c r="A1" s="26"/>
      <c r="B1" s="27"/>
      <c r="C1" s="28" t="s">
        <v>30</v>
      </c>
      <c r="D1" s="29"/>
      <c r="E1" s="29"/>
      <c r="F1" s="29"/>
      <c r="G1" s="30"/>
      <c r="H1" s="31"/>
    </row>
    <row r="2" spans="1:8" x14ac:dyDescent="0.3">
      <c r="A2" s="32"/>
      <c r="B2" s="33"/>
      <c r="C2" s="34" t="s">
        <v>69</v>
      </c>
      <c r="D2" s="35"/>
      <c r="E2" s="35"/>
      <c r="F2" s="36"/>
      <c r="G2" s="35"/>
      <c r="H2" s="36"/>
    </row>
    <row r="3" spans="1:8" x14ac:dyDescent="0.3">
      <c r="A3" s="37"/>
      <c r="B3" s="38"/>
      <c r="C3" s="30" t="s">
        <v>71</v>
      </c>
      <c r="D3" s="30"/>
      <c r="E3" s="30" t="s">
        <v>31</v>
      </c>
      <c r="F3" s="30"/>
      <c r="G3" s="30" t="s">
        <v>32</v>
      </c>
      <c r="H3" s="30"/>
    </row>
    <row r="4" spans="1:8" x14ac:dyDescent="0.3">
      <c r="A4" s="39" t="s">
        <v>33</v>
      </c>
      <c r="B4" s="40" t="s">
        <v>34</v>
      </c>
      <c r="C4" s="41" t="s">
        <v>35</v>
      </c>
      <c r="D4" s="41" t="s">
        <v>36</v>
      </c>
      <c r="E4" s="41" t="s">
        <v>35</v>
      </c>
      <c r="F4" s="41" t="s">
        <v>36</v>
      </c>
      <c r="G4" s="41" t="s">
        <v>35</v>
      </c>
      <c r="H4" s="41" t="s">
        <v>36</v>
      </c>
    </row>
    <row r="5" spans="1:8" x14ac:dyDescent="0.3">
      <c r="A5" s="9" t="str" cm="1">
        <f t="array" ref="A5:A9">_xlfn.UNIQUE(Таблица1[Специалист])</f>
        <v>Захаров Юрий</v>
      </c>
      <c r="B5" s="10" t="str">
        <f>IFERROR(_xlfn.XLOOKUP(A5,Таблица1[Специалист],Таблица1[Форма контрактации]),0)</f>
        <v>СМЗ</v>
      </c>
      <c r="C5" s="10">
        <v>611.33000000000004</v>
      </c>
      <c r="D5" s="13">
        <v>1300703</v>
      </c>
      <c r="E5" s="10">
        <f>SUMIFS(Таблица1[Часы 
ПЛАН],Таблица1[Специалист],A5)</f>
        <v>602</v>
      </c>
      <c r="F5" s="13">
        <f>SUMIFS(Таблица1[Итого со страховыми],Таблица1[Специалист],A5)</f>
        <v>1298575</v>
      </c>
      <c r="G5" s="42">
        <f>E5-C5</f>
        <v>-9.3300000000000409</v>
      </c>
      <c r="H5" s="13">
        <f>F5-D5</f>
        <v>-2128</v>
      </c>
    </row>
    <row r="6" spans="1:8" x14ac:dyDescent="0.3">
      <c r="A6" s="9" t="str">
        <v>Толстоусова Ольга</v>
      </c>
      <c r="B6" s="10" t="str">
        <f>IFERROR(_xlfn.XLOOKUP(A6,Таблица1[Специалист],Таблица1[Форма контрактации]),0)</f>
        <v>ГПХ</v>
      </c>
      <c r="C6" s="10">
        <v>341</v>
      </c>
      <c r="D6" s="13">
        <v>997259</v>
      </c>
      <c r="E6" s="10">
        <f>SUMIFS(Таблица1[Часы 
ПЛАН],Таблица1[Специалист],A6)</f>
        <v>341</v>
      </c>
      <c r="F6" s="13">
        <f>SUMIFS(Таблица1[Итого со страховыми],Таблица1[Специалист],A6)</f>
        <v>997259</v>
      </c>
      <c r="G6" s="42">
        <f t="shared" ref="G6:G9" si="0">E6-C6</f>
        <v>0</v>
      </c>
      <c r="H6" s="13">
        <f t="shared" ref="H6:H9" si="1">F6-D6</f>
        <v>0</v>
      </c>
    </row>
    <row r="7" spans="1:8" x14ac:dyDescent="0.3">
      <c r="A7" s="9" t="str">
        <v>Карпов Алексей</v>
      </c>
      <c r="B7" s="10" t="str">
        <f>IFERROR(_xlfn.XLOOKUP(A7,Таблица1[Специалист],Таблица1[Форма контрактации]),0)</f>
        <v>СМЗ</v>
      </c>
      <c r="C7" s="10">
        <v>193</v>
      </c>
      <c r="D7" s="13">
        <v>691200</v>
      </c>
      <c r="E7" s="10">
        <v>193</v>
      </c>
      <c r="F7" s="13">
        <f>SUMIFS(Таблица1[Итого со страховыми],Таблица1[Специалист],A7)</f>
        <v>691200</v>
      </c>
      <c r="G7" s="42">
        <f t="shared" si="0"/>
        <v>0</v>
      </c>
      <c r="H7" s="13">
        <f t="shared" si="1"/>
        <v>0</v>
      </c>
    </row>
    <row r="8" spans="1:8" x14ac:dyDescent="0.3">
      <c r="A8" s="9" t="str">
        <v>Черепанов Валерий</v>
      </c>
      <c r="B8" s="10" t="str">
        <f>IFERROR(_xlfn.XLOOKUP(A8,Таблица1[Специалист],Таблица1[Форма контрактации]),0)</f>
        <v>СМЗ</v>
      </c>
      <c r="C8" s="10">
        <v>168</v>
      </c>
      <c r="D8" s="13">
        <v>525840</v>
      </c>
      <c r="E8" s="10">
        <f>SUMIFS(Таблица1[Часы 
ПЛАН],Таблица1[Специалист],A8)</f>
        <v>168</v>
      </c>
      <c r="F8" s="13">
        <f>SUMIFS(Таблица1[Итого со страховыми],Таблица1[Специалист],A8)</f>
        <v>525840</v>
      </c>
      <c r="G8" s="42">
        <f t="shared" si="0"/>
        <v>0</v>
      </c>
      <c r="H8" s="13">
        <f t="shared" si="1"/>
        <v>0</v>
      </c>
    </row>
    <row r="9" spans="1:8" x14ac:dyDescent="0.3">
      <c r="A9" s="9" t="str">
        <v>Сазонов Павел</v>
      </c>
      <c r="B9" s="10" t="str">
        <f>IFERROR(_xlfn.XLOOKUP(A9,Таблица1[Специалист],Таблица1[Форма контрактации]),0)</f>
        <v>ИП</v>
      </c>
      <c r="C9" s="10">
        <v>51</v>
      </c>
      <c r="D9" s="13">
        <v>130000</v>
      </c>
      <c r="E9" s="10">
        <f>SUMIFS(Таблица1[Часы 
ПЛАН],Таблица1[Специалист],A9)</f>
        <v>51</v>
      </c>
      <c r="F9" s="13">
        <f>SUMIFS(Таблица1[Итого со страховыми],Таблица1[Специалист],A9)</f>
        <v>130000</v>
      </c>
      <c r="G9" s="42">
        <f t="shared" si="0"/>
        <v>0</v>
      </c>
      <c r="H9" s="13">
        <f t="shared" si="1"/>
        <v>0</v>
      </c>
    </row>
    <row r="10" spans="1:8" x14ac:dyDescent="0.3">
      <c r="A10" s="43" t="s">
        <v>37</v>
      </c>
      <c r="B10" s="44"/>
      <c r="C10" s="41">
        <f t="shared" ref="C10:H10" si="2">SUM(C5:C9)</f>
        <v>1364.33</v>
      </c>
      <c r="D10" s="45">
        <f t="shared" si="2"/>
        <v>3645002</v>
      </c>
      <c r="E10" s="41">
        <f t="shared" si="2"/>
        <v>1355</v>
      </c>
      <c r="F10" s="45">
        <f t="shared" si="2"/>
        <v>3642874</v>
      </c>
      <c r="G10" s="46">
        <f t="shared" si="2"/>
        <v>-9.3300000000000409</v>
      </c>
      <c r="H10" s="45">
        <f t="shared" si="2"/>
        <v>-2128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5CE1-AE78-492B-91CC-F2CEB12EBDB3}">
  <dimension ref="A1:CA56"/>
  <sheetViews>
    <sheetView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25" sqref="D25"/>
    </sheetView>
  </sheetViews>
  <sheetFormatPr defaultColWidth="8.6640625" defaultRowHeight="14.4" outlineLevelCol="1" x14ac:dyDescent="0.3"/>
  <cols>
    <col min="1" max="1" width="43.6640625" customWidth="1"/>
    <col min="2" max="2" width="23" customWidth="1"/>
    <col min="3" max="4" width="19" customWidth="1"/>
    <col min="5" max="5" width="20.44140625" customWidth="1"/>
    <col min="6" max="29" width="11.44140625" customWidth="1" outlineLevel="1"/>
    <col min="30" max="78" width="11.44140625" customWidth="1"/>
    <col min="79" max="79" width="13" customWidth="1"/>
  </cols>
  <sheetData>
    <row r="1" spans="1:79" ht="83.4" customHeight="1" x14ac:dyDescent="0.3">
      <c r="A1" s="47" t="s">
        <v>38</v>
      </c>
      <c r="B1" s="47" t="s">
        <v>39</v>
      </c>
      <c r="C1" s="47" t="s">
        <v>40</v>
      </c>
      <c r="D1" s="47" t="s">
        <v>41</v>
      </c>
      <c r="E1" s="47" t="s">
        <v>42</v>
      </c>
      <c r="F1" s="48">
        <v>44927</v>
      </c>
      <c r="G1" s="48">
        <v>44958</v>
      </c>
      <c r="H1" s="48">
        <v>44986</v>
      </c>
      <c r="I1" s="48">
        <v>45017</v>
      </c>
      <c r="J1" s="48">
        <v>45047</v>
      </c>
      <c r="K1" s="48">
        <v>45078</v>
      </c>
      <c r="L1" s="48">
        <v>45108</v>
      </c>
      <c r="M1" s="48">
        <v>45139</v>
      </c>
      <c r="N1" s="48">
        <v>45170</v>
      </c>
      <c r="O1" s="48">
        <v>45200</v>
      </c>
      <c r="P1" s="48">
        <v>45231</v>
      </c>
      <c r="Q1" s="48">
        <v>45261</v>
      </c>
      <c r="R1" s="49">
        <v>45292</v>
      </c>
      <c r="S1" s="49">
        <v>45323</v>
      </c>
      <c r="T1" s="49">
        <v>45352</v>
      </c>
      <c r="U1" s="49">
        <v>45383</v>
      </c>
      <c r="V1" s="49">
        <v>45413</v>
      </c>
      <c r="W1" s="49">
        <v>45444</v>
      </c>
      <c r="X1" s="49">
        <v>45474</v>
      </c>
      <c r="Y1" s="49">
        <v>45505</v>
      </c>
      <c r="Z1" s="49">
        <v>45536</v>
      </c>
      <c r="AA1" s="49">
        <v>45566</v>
      </c>
      <c r="AB1" s="49">
        <v>45597</v>
      </c>
      <c r="AC1" s="49">
        <v>45627</v>
      </c>
      <c r="AD1" s="48">
        <v>45658</v>
      </c>
      <c r="AE1" s="48">
        <v>45689</v>
      </c>
      <c r="AF1" s="48">
        <v>45717</v>
      </c>
      <c r="AG1" s="48">
        <v>45748</v>
      </c>
      <c r="AH1" s="48">
        <v>45778</v>
      </c>
      <c r="AI1" s="48">
        <v>45809</v>
      </c>
      <c r="AJ1" s="48">
        <v>45839</v>
      </c>
      <c r="AK1" s="48">
        <v>45870</v>
      </c>
      <c r="AL1" s="48">
        <v>45901</v>
      </c>
      <c r="AM1" s="48">
        <v>45931</v>
      </c>
      <c r="AN1" s="48">
        <v>45962</v>
      </c>
      <c r="AO1" s="48">
        <v>45992</v>
      </c>
      <c r="AP1" s="49">
        <v>46023</v>
      </c>
      <c r="AQ1" s="49">
        <v>46054</v>
      </c>
      <c r="AR1" s="49">
        <v>46082</v>
      </c>
      <c r="AS1" s="49">
        <v>46113</v>
      </c>
      <c r="AT1" s="49">
        <v>46143</v>
      </c>
      <c r="AU1" s="49">
        <v>46174</v>
      </c>
      <c r="AV1" s="49">
        <v>46204</v>
      </c>
      <c r="AW1" s="49">
        <v>46235</v>
      </c>
      <c r="AX1" s="49">
        <v>46266</v>
      </c>
      <c r="AY1" s="49">
        <v>46296</v>
      </c>
      <c r="AZ1" s="49">
        <v>46327</v>
      </c>
      <c r="BA1" s="49">
        <v>46357</v>
      </c>
      <c r="BB1" s="48">
        <v>46388</v>
      </c>
      <c r="BC1" s="48">
        <v>46419</v>
      </c>
      <c r="BD1" s="48">
        <v>46447</v>
      </c>
      <c r="BE1" s="48">
        <v>46478</v>
      </c>
      <c r="BF1" s="48">
        <v>46508</v>
      </c>
      <c r="BG1" s="48">
        <v>46539</v>
      </c>
      <c r="BH1" s="48">
        <v>46569</v>
      </c>
      <c r="BI1" s="48">
        <v>46600</v>
      </c>
      <c r="BJ1" s="48">
        <v>46631</v>
      </c>
      <c r="BK1" s="48">
        <v>46661</v>
      </c>
      <c r="BL1" s="48">
        <v>46692</v>
      </c>
      <c r="BM1" s="48">
        <v>46722</v>
      </c>
      <c r="BN1" s="49">
        <v>46753</v>
      </c>
      <c r="BO1" s="49">
        <v>46784</v>
      </c>
      <c r="BP1" s="49">
        <v>46813</v>
      </c>
      <c r="BQ1" s="49">
        <v>46844</v>
      </c>
      <c r="BR1" s="49">
        <v>46874</v>
      </c>
      <c r="BS1" s="49">
        <v>46905</v>
      </c>
      <c r="BT1" s="49">
        <v>46935</v>
      </c>
      <c r="BU1" s="49">
        <v>46966</v>
      </c>
      <c r="BV1" s="49">
        <v>46997</v>
      </c>
      <c r="BW1" s="49">
        <v>47027</v>
      </c>
      <c r="BX1" s="49">
        <v>47058</v>
      </c>
      <c r="BY1" s="49">
        <v>47088</v>
      </c>
      <c r="BZ1" s="48" t="s">
        <v>43</v>
      </c>
    </row>
    <row r="2" spans="1:79" x14ac:dyDescent="0.3">
      <c r="A2" s="50"/>
      <c r="B2" s="51"/>
    </row>
    <row r="3" spans="1:79" s="53" customFormat="1" x14ac:dyDescent="0.3">
      <c r="A3" s="111" t="s">
        <v>44</v>
      </c>
      <c r="B3" s="112"/>
      <c r="C3" s="112"/>
      <c r="D3" s="112"/>
      <c r="E3" s="11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</row>
    <row r="4" spans="1:79" ht="25.5" customHeight="1" x14ac:dyDescent="0.3">
      <c r="A4" s="54" t="str" cm="1">
        <f t="array" ref="A4:A8">_xlfn.UNIQUE(Таблица1[Специалист])</f>
        <v>Захаров Юрий</v>
      </c>
      <c r="B4" s="55" t="str">
        <f>IF(ISERROR(SEARCH("ООО",IFERROR(_xlfn.XLOOKUP(A4,'расчеты_T&amp;M'!B:B,'расчеты_T&amp;M'!C:C),0))),IF(ISERROR(SEARCH("СМЗ",IFERROR(_xlfn.XLOOKUP(A4,'расчеты_T&amp;M'!B:B,'расчеты_T&amp;M'!C:C),0))),IF(ISERROR(SEARCH("ИП",IFERROR(_xlfn.XLOOKUP(A4,'расчеты_T&amp;M'!B:B,'расчеты_T&amp;M'!C:C),0))),IF(ISERROR(SEARCH("ГПХ",IFERROR(_xlfn.XLOOKUP(A4,'расчеты_T&amp;M'!B:B,'расчеты_T&amp;M'!C:C),0))),"","ГПХ"),"ИП"),"СМЗ"),"ЮЛ")</f>
        <v>СМЗ</v>
      </c>
      <c r="C4" s="56">
        <f t="shared" ref="C4:C16" si="0">IF(B4="ГПХ",7.8%,0%)</f>
        <v>0</v>
      </c>
      <c r="D4" s="57">
        <f>IFERROR(_xlfn.XLOOKUP(A4,Таблица1[Специалист],Таблица1[Ставка НДС]),0)</f>
        <v>0</v>
      </c>
      <c r="E4" s="58">
        <f>IFERROR(_xlfn.XLOOKUP(A4,Таблица1[Специалист],Таблица1[Ставка Gross])/(1+IFERROR(_xlfn.XLOOKUP(A4,Таблица1[Специалист],Таблица1[Ставка НДС]),0)),0)</f>
        <v>2127.66</v>
      </c>
      <c r="F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проекта'!F$1)</f>
        <v>0</v>
      </c>
      <c r="G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проекта'!G$1)</f>
        <v>0</v>
      </c>
      <c r="H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проекта'!H$1)</f>
        <v>0</v>
      </c>
      <c r="I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проекта'!I$1)</f>
        <v>0</v>
      </c>
      <c r="J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проекта'!J$1)</f>
        <v>0</v>
      </c>
      <c r="K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проекта'!K$1)</f>
        <v>0</v>
      </c>
      <c r="L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проекта'!L$1)</f>
        <v>0</v>
      </c>
      <c r="M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проекта'!M$1)</f>
        <v>0</v>
      </c>
      <c r="N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проекта'!N$1)</f>
        <v>0</v>
      </c>
      <c r="O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проекта'!O$1)</f>
        <v>0</v>
      </c>
      <c r="P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проекта'!P$1)</f>
        <v>0</v>
      </c>
      <c r="Q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проекта'!Q$1)</f>
        <v>0</v>
      </c>
      <c r="R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проекта'!R$1)</f>
        <v>0</v>
      </c>
      <c r="S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проекта'!S$1)</f>
        <v>0</v>
      </c>
      <c r="T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проекта'!T$1)</f>
        <v>0</v>
      </c>
      <c r="U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проекта'!U$1)</f>
        <v>0</v>
      </c>
      <c r="V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проекта'!V$1)</f>
        <v>0</v>
      </c>
      <c r="W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проекта'!W$1)</f>
        <v>0</v>
      </c>
      <c r="X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проекта'!X$1)</f>
        <v>0</v>
      </c>
      <c r="Y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проекта'!Y$1)</f>
        <v>0</v>
      </c>
      <c r="Z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проекта'!Z$1)</f>
        <v>0</v>
      </c>
      <c r="AA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проекта'!AA$1)</f>
        <v>0</v>
      </c>
      <c r="AB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проекта'!AB$1)</f>
        <v>0</v>
      </c>
      <c r="AC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проекта'!AC$1)</f>
        <v>0.24</v>
      </c>
      <c r="AD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проекта'!AD$1)</f>
        <v>0.22</v>
      </c>
      <c r="AE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проекта'!AE$1)</f>
        <v>0.5</v>
      </c>
      <c r="AF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проекта'!AF$1)</f>
        <v>0.49</v>
      </c>
      <c r="AG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проекта'!AG$1)</f>
        <v>0.3</v>
      </c>
      <c r="AH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проекта'!AH$1)</f>
        <v>0.38</v>
      </c>
      <c r="AI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проекта'!AI$1)</f>
        <v>0.41</v>
      </c>
      <c r="AJ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проекта'!AJ$1)</f>
        <v>0.1</v>
      </c>
      <c r="AK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проекта'!AK$1)</f>
        <v>0.08</v>
      </c>
      <c r="AL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проекта'!AL$1)</f>
        <v>7.0000000000000007E-2</v>
      </c>
      <c r="AM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проекта'!AM$1)</f>
        <v>0.27</v>
      </c>
      <c r="AN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проекта'!AN$1)</f>
        <v>0.31</v>
      </c>
      <c r="AO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проекта'!AO$1)</f>
        <v>0.34</v>
      </c>
      <c r="AP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проекта'!AP$1)</f>
        <v>0</v>
      </c>
      <c r="AQ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проекта'!AQ$1)</f>
        <v>0</v>
      </c>
      <c r="AR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проекта'!AR$1)</f>
        <v>0</v>
      </c>
      <c r="AS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проекта'!AS$1)</f>
        <v>0</v>
      </c>
      <c r="AT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проекта'!AT$1)</f>
        <v>0</v>
      </c>
      <c r="AU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проекта'!AU$1)</f>
        <v>0</v>
      </c>
      <c r="AV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проекта'!AV$1)</f>
        <v>0</v>
      </c>
      <c r="AW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проекта'!AW$1)</f>
        <v>0</v>
      </c>
      <c r="AX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проекта'!AX$1)</f>
        <v>0</v>
      </c>
      <c r="AY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проекта'!AY$1)</f>
        <v>0</v>
      </c>
      <c r="AZ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проекта'!AZ$1)</f>
        <v>0</v>
      </c>
      <c r="BA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проекта'!BA$1)</f>
        <v>0</v>
      </c>
      <c r="BB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проекта'!BB$1)</f>
        <v>0</v>
      </c>
      <c r="BC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проекта'!BC$1)</f>
        <v>0</v>
      </c>
      <c r="BD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проекта'!BD$1)</f>
        <v>0</v>
      </c>
      <c r="BE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проекта'!BE$1)</f>
        <v>0</v>
      </c>
      <c r="BF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проекта'!BF$1)</f>
        <v>0</v>
      </c>
      <c r="BG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проекта'!BG$1)</f>
        <v>0</v>
      </c>
      <c r="BH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проекта'!BH$1)</f>
        <v>0</v>
      </c>
      <c r="BI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проекта'!BI$1)</f>
        <v>0</v>
      </c>
      <c r="BJ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проекта'!BJ$1)</f>
        <v>0</v>
      </c>
      <c r="BK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проекта'!BK$1)</f>
        <v>0</v>
      </c>
      <c r="BL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проекта'!BL$1)</f>
        <v>0</v>
      </c>
      <c r="BM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проекта'!BM$1)</f>
        <v>0</v>
      </c>
      <c r="BN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проекта'!BN$1)</f>
        <v>0</v>
      </c>
      <c r="BO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проекта'!BO$1)</f>
        <v>0</v>
      </c>
      <c r="BP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проекта'!BP$1)</f>
        <v>0</v>
      </c>
      <c r="BQ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проекта'!BQ$1)</f>
        <v>0</v>
      </c>
      <c r="BR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проекта'!BR$1)</f>
        <v>0</v>
      </c>
      <c r="BS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проекта'!BS$1)</f>
        <v>0</v>
      </c>
      <c r="BT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проекта'!BT$1)</f>
        <v>0</v>
      </c>
      <c r="BU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проекта'!BU$1)</f>
        <v>0</v>
      </c>
      <c r="BV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проекта'!BV$1)</f>
        <v>0</v>
      </c>
      <c r="BW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проекта'!BW$1)</f>
        <v>0</v>
      </c>
      <c r="BX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проекта'!BX$1)</f>
        <v>0</v>
      </c>
      <c r="BY4" s="59">
        <f>SUMIFS(Таблица1[[Загрузка респлан]:[Загрузка респлан]],Таблица1[[Специалист]:[Специалист]],'шаблон расчета проекта'!$A4,Таблица1[[Месяц выполнения работ]:[Месяц выполнения работ]],'шаблон расчета проекта'!BY$1)</f>
        <v>0</v>
      </c>
      <c r="BZ4" s="60">
        <f t="shared" ref="BZ4:BZ16" si="1">SUM(F4:BY4)</f>
        <v>3.71</v>
      </c>
      <c r="CA4" s="51" t="s">
        <v>45</v>
      </c>
    </row>
    <row r="5" spans="1:79" x14ac:dyDescent="0.3">
      <c r="A5" s="54" t="str">
        <v>Толстоусова Ольга</v>
      </c>
      <c r="B5" s="55" t="str">
        <f>IF(ISERROR(SEARCH("ООО",IFERROR(_xlfn.XLOOKUP(A5,'расчеты_T&amp;M'!B:B,'расчеты_T&amp;M'!C:C),0))),IF(ISERROR(SEARCH("СМЗ",IFERROR(_xlfn.XLOOKUP(A5,'расчеты_T&amp;M'!B:B,'расчеты_T&amp;M'!C:C),0))),IF(ISERROR(SEARCH("ИП",IFERROR(_xlfn.XLOOKUP(A5,'расчеты_T&amp;M'!B:B,'расчеты_T&amp;M'!C:C),0))),IF(ISERROR(SEARCH("ГПХ",IFERROR(_xlfn.XLOOKUP(A5,'расчеты_T&amp;M'!B:B,'расчеты_T&amp;M'!C:C),0))),"","ГПХ"),"ИП"),"СМЗ"),"ЮЛ")</f>
        <v>ГПХ</v>
      </c>
      <c r="C5" s="56">
        <f t="shared" si="0"/>
        <v>7.8E-2</v>
      </c>
      <c r="D5" s="57">
        <f>IFERROR(_xlfn.XLOOKUP(A5,Таблица1[Специалист],Таблица1[Ставка НДС]),0)</f>
        <v>0</v>
      </c>
      <c r="E5" s="58">
        <f>IFERROR(_xlfn.XLOOKUP(A5,Таблица1[Специалист],Таблица1[Ставка Gross])/(1+IFERROR(_xlfn.XLOOKUP(A5,Таблица1[Специалист],Таблица1[Ставка НДС]),0)),0)</f>
        <v>2710</v>
      </c>
      <c r="F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проекта'!F$1)</f>
        <v>0</v>
      </c>
      <c r="G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проекта'!G$1)</f>
        <v>0</v>
      </c>
      <c r="H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проекта'!H$1)</f>
        <v>0</v>
      </c>
      <c r="I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проекта'!I$1)</f>
        <v>0</v>
      </c>
      <c r="J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проекта'!J$1)</f>
        <v>0</v>
      </c>
      <c r="K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проекта'!K$1)</f>
        <v>0</v>
      </c>
      <c r="L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проекта'!L$1)</f>
        <v>0</v>
      </c>
      <c r="M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проекта'!M$1)</f>
        <v>0</v>
      </c>
      <c r="N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проекта'!N$1)</f>
        <v>0</v>
      </c>
      <c r="O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проекта'!O$1)</f>
        <v>0</v>
      </c>
      <c r="P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проекта'!P$1)</f>
        <v>0</v>
      </c>
      <c r="Q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проекта'!Q$1)</f>
        <v>0</v>
      </c>
      <c r="R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проекта'!R$1)</f>
        <v>0</v>
      </c>
      <c r="S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проекта'!S$1)</f>
        <v>0</v>
      </c>
      <c r="T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проекта'!T$1)</f>
        <v>0</v>
      </c>
      <c r="U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проекта'!U$1)</f>
        <v>0</v>
      </c>
      <c r="V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проекта'!V$1)</f>
        <v>0</v>
      </c>
      <c r="W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проекта'!W$1)</f>
        <v>0</v>
      </c>
      <c r="X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проекта'!X$1)</f>
        <v>0</v>
      </c>
      <c r="Y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проекта'!Y$1)</f>
        <v>0</v>
      </c>
      <c r="Z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проекта'!Z$1)</f>
        <v>0</v>
      </c>
      <c r="AA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проекта'!AA$1)</f>
        <v>0</v>
      </c>
      <c r="AB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проекта'!AB$1)</f>
        <v>0</v>
      </c>
      <c r="AC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проекта'!AC$1)</f>
        <v>0</v>
      </c>
      <c r="AD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проекта'!AD$1)</f>
        <v>0</v>
      </c>
      <c r="AE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проекта'!AE$1)</f>
        <v>0</v>
      </c>
      <c r="AF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проекта'!AF$1)</f>
        <v>0</v>
      </c>
      <c r="AG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проекта'!AG$1)</f>
        <v>0</v>
      </c>
      <c r="AH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проекта'!AH$1)</f>
        <v>0</v>
      </c>
      <c r="AI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проекта'!AI$1)</f>
        <v>0.69</v>
      </c>
      <c r="AJ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проекта'!AJ$1)</f>
        <v>0.3</v>
      </c>
      <c r="AK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проекта'!AK$1)</f>
        <v>0.34</v>
      </c>
      <c r="AL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проекта'!AL$1)</f>
        <v>0.71</v>
      </c>
      <c r="AM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проекта'!AM$1)</f>
        <v>0</v>
      </c>
      <c r="AN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проекта'!AN$1)</f>
        <v>0</v>
      </c>
      <c r="AO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проекта'!AO$1)</f>
        <v>0</v>
      </c>
      <c r="AP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проекта'!AP$1)</f>
        <v>0</v>
      </c>
      <c r="AQ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проекта'!AQ$1)</f>
        <v>0</v>
      </c>
      <c r="AR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проекта'!AR$1)</f>
        <v>0</v>
      </c>
      <c r="AS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проекта'!AS$1)</f>
        <v>0</v>
      </c>
      <c r="AT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проекта'!AT$1)</f>
        <v>0</v>
      </c>
      <c r="AU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проекта'!AU$1)</f>
        <v>0</v>
      </c>
      <c r="AV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проекта'!AV$1)</f>
        <v>0</v>
      </c>
      <c r="AW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проекта'!AW$1)</f>
        <v>0</v>
      </c>
      <c r="AX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проекта'!AX$1)</f>
        <v>0</v>
      </c>
      <c r="AY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проекта'!AY$1)</f>
        <v>0</v>
      </c>
      <c r="AZ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проекта'!AZ$1)</f>
        <v>0</v>
      </c>
      <c r="BA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проекта'!BA$1)</f>
        <v>0</v>
      </c>
      <c r="BB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проекта'!BB$1)</f>
        <v>0</v>
      </c>
      <c r="BC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проекта'!BC$1)</f>
        <v>0</v>
      </c>
      <c r="BD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проекта'!BD$1)</f>
        <v>0</v>
      </c>
      <c r="BE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проекта'!BE$1)</f>
        <v>0</v>
      </c>
      <c r="BF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проекта'!BF$1)</f>
        <v>0</v>
      </c>
      <c r="BG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проекта'!BG$1)</f>
        <v>0</v>
      </c>
      <c r="BH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проекта'!BH$1)</f>
        <v>0</v>
      </c>
      <c r="BI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проекта'!BI$1)</f>
        <v>0</v>
      </c>
      <c r="BJ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проекта'!BJ$1)</f>
        <v>0</v>
      </c>
      <c r="BK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проекта'!BK$1)</f>
        <v>0</v>
      </c>
      <c r="BL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проекта'!BL$1)</f>
        <v>0</v>
      </c>
      <c r="BM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проекта'!BM$1)</f>
        <v>0</v>
      </c>
      <c r="BN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проекта'!BN$1)</f>
        <v>0</v>
      </c>
      <c r="BO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проекта'!BO$1)</f>
        <v>0</v>
      </c>
      <c r="BP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проекта'!BP$1)</f>
        <v>0</v>
      </c>
      <c r="BQ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проекта'!BQ$1)</f>
        <v>0</v>
      </c>
      <c r="BR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проекта'!BR$1)</f>
        <v>0</v>
      </c>
      <c r="BS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проекта'!BS$1)</f>
        <v>0</v>
      </c>
      <c r="BT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проекта'!BT$1)</f>
        <v>0</v>
      </c>
      <c r="BU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проекта'!BU$1)</f>
        <v>0</v>
      </c>
      <c r="BV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проекта'!BV$1)</f>
        <v>0</v>
      </c>
      <c r="BW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проекта'!BW$1)</f>
        <v>0</v>
      </c>
      <c r="BX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проекта'!BX$1)</f>
        <v>0</v>
      </c>
      <c r="BY5" s="59">
        <f>SUMIFS(Таблица1[[Загрузка респлан]:[Загрузка респлан]],Таблица1[[Специалист]:[Специалист]],'шаблон расчета проекта'!$A5,Таблица1[[Месяц выполнения работ]:[Месяц выполнения работ]],'шаблон расчета проекта'!BY$1)</f>
        <v>0</v>
      </c>
      <c r="BZ5" s="60">
        <f t="shared" si="1"/>
        <v>2.04</v>
      </c>
      <c r="CA5" s="51"/>
    </row>
    <row r="6" spans="1:79" x14ac:dyDescent="0.3">
      <c r="A6" s="54" t="str">
        <v>Карпов Алексей</v>
      </c>
      <c r="B6" s="55" t="str">
        <f>IF(ISERROR(SEARCH("ООО",IFERROR(_xlfn.XLOOKUP(A6,'расчеты_T&amp;M'!B:B,'расчеты_T&amp;M'!C:C),0))),IF(ISERROR(SEARCH("СМЗ",IFERROR(_xlfn.XLOOKUP(A6,'расчеты_T&amp;M'!B:B,'расчеты_T&amp;M'!C:C),0))),IF(ISERROR(SEARCH("ИП",IFERROR(_xlfn.XLOOKUP(A6,'расчеты_T&amp;M'!B:B,'расчеты_T&amp;M'!C:C),0))),IF(ISERROR(SEARCH("ГПХ",IFERROR(_xlfn.XLOOKUP(A6,'расчеты_T&amp;M'!B:B,'расчеты_T&amp;M'!C:C),0))),"","ГПХ"),"ИП"),"СМЗ"),"ЮЛ")</f>
        <v>СМЗ</v>
      </c>
      <c r="C6" s="56">
        <f t="shared" si="0"/>
        <v>0</v>
      </c>
      <c r="D6" s="57">
        <f>IFERROR(_xlfn.XLOOKUP(A6,Таблица1[Специалист],Таблица1[Ставка НДС]),0)</f>
        <v>0</v>
      </c>
      <c r="E6" s="58">
        <f>IFERROR(_xlfn.XLOOKUP(A6,Таблица1[Специалист],Таблица1[Ставка Gross])/(1+IFERROR(_xlfn.XLOOKUP(A6,Таблица1[Специалист],Таблица1[Ставка НДС]),0)),0)</f>
        <v>3600</v>
      </c>
      <c r="F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проекта'!F$1)</f>
        <v>0</v>
      </c>
      <c r="G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проекта'!G$1)</f>
        <v>0</v>
      </c>
      <c r="H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проекта'!H$1)</f>
        <v>0</v>
      </c>
      <c r="I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проекта'!I$1)</f>
        <v>0</v>
      </c>
      <c r="J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проекта'!J$1)</f>
        <v>0</v>
      </c>
      <c r="K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проекта'!K$1)</f>
        <v>0</v>
      </c>
      <c r="L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проекта'!L$1)</f>
        <v>0</v>
      </c>
      <c r="M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проекта'!M$1)</f>
        <v>0</v>
      </c>
      <c r="N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проекта'!N$1)</f>
        <v>0</v>
      </c>
      <c r="O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проекта'!O$1)</f>
        <v>0</v>
      </c>
      <c r="P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проекта'!P$1)</f>
        <v>0</v>
      </c>
      <c r="Q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проекта'!Q$1)</f>
        <v>0</v>
      </c>
      <c r="R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проекта'!R$1)</f>
        <v>0</v>
      </c>
      <c r="S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проекта'!S$1)</f>
        <v>0</v>
      </c>
      <c r="T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проекта'!T$1)</f>
        <v>0</v>
      </c>
      <c r="U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проекта'!U$1)</f>
        <v>0</v>
      </c>
      <c r="V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проекта'!V$1)</f>
        <v>0</v>
      </c>
      <c r="W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проекта'!W$1)</f>
        <v>0</v>
      </c>
      <c r="X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проекта'!X$1)</f>
        <v>0</v>
      </c>
      <c r="Y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проекта'!Y$1)</f>
        <v>0</v>
      </c>
      <c r="Z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проекта'!Z$1)</f>
        <v>0</v>
      </c>
      <c r="AA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проекта'!AA$1)</f>
        <v>0</v>
      </c>
      <c r="AB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проекта'!AB$1)</f>
        <v>0</v>
      </c>
      <c r="AC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проекта'!AC$1)</f>
        <v>0</v>
      </c>
      <c r="AD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проекта'!AD$1)</f>
        <v>0</v>
      </c>
      <c r="AE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проекта'!AE$1)</f>
        <v>0</v>
      </c>
      <c r="AF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проекта'!AF$1)</f>
        <v>0</v>
      </c>
      <c r="AG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проекта'!AG$1)</f>
        <v>0</v>
      </c>
      <c r="AH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проекта'!AH$1)</f>
        <v>0.17</v>
      </c>
      <c r="AI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проекта'!AI$1)</f>
        <v>0.56000000000000005</v>
      </c>
      <c r="AJ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проекта'!AJ$1)</f>
        <v>0</v>
      </c>
      <c r="AK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проекта'!AK$1)</f>
        <v>0.5</v>
      </c>
      <c r="AL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проекта'!AL$1)</f>
        <v>0</v>
      </c>
      <c r="AM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проекта'!AM$1)</f>
        <v>0</v>
      </c>
      <c r="AN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проекта'!AN$1)</f>
        <v>0</v>
      </c>
      <c r="AO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проекта'!AO$1)</f>
        <v>0</v>
      </c>
      <c r="AP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проекта'!AP$1)</f>
        <v>0</v>
      </c>
      <c r="AQ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проекта'!AQ$1)</f>
        <v>0</v>
      </c>
      <c r="AR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проекта'!AR$1)</f>
        <v>0</v>
      </c>
      <c r="AS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проекта'!AS$1)</f>
        <v>0</v>
      </c>
      <c r="AT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проекта'!AT$1)</f>
        <v>0</v>
      </c>
      <c r="AU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проекта'!AU$1)</f>
        <v>0</v>
      </c>
      <c r="AV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проекта'!AV$1)</f>
        <v>0</v>
      </c>
      <c r="AW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проекта'!AW$1)</f>
        <v>0</v>
      </c>
      <c r="AX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проекта'!AX$1)</f>
        <v>0</v>
      </c>
      <c r="AY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проекта'!AY$1)</f>
        <v>0</v>
      </c>
      <c r="AZ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проекта'!AZ$1)</f>
        <v>0</v>
      </c>
      <c r="BA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проекта'!BA$1)</f>
        <v>0</v>
      </c>
      <c r="BB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проекта'!BB$1)</f>
        <v>0</v>
      </c>
      <c r="BC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проекта'!BC$1)</f>
        <v>0</v>
      </c>
      <c r="BD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проекта'!BD$1)</f>
        <v>0</v>
      </c>
      <c r="BE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проекта'!BE$1)</f>
        <v>0</v>
      </c>
      <c r="BF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проекта'!BF$1)</f>
        <v>0</v>
      </c>
      <c r="BG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проекта'!BG$1)</f>
        <v>0</v>
      </c>
      <c r="BH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проекта'!BH$1)</f>
        <v>0</v>
      </c>
      <c r="BI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проекта'!BI$1)</f>
        <v>0</v>
      </c>
      <c r="BJ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проекта'!BJ$1)</f>
        <v>0</v>
      </c>
      <c r="BK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проекта'!BK$1)</f>
        <v>0</v>
      </c>
      <c r="BL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проекта'!BL$1)</f>
        <v>0</v>
      </c>
      <c r="BM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проекта'!BM$1)</f>
        <v>0</v>
      </c>
      <c r="BN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проекта'!BN$1)</f>
        <v>0</v>
      </c>
      <c r="BO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проекта'!BO$1)</f>
        <v>0</v>
      </c>
      <c r="BP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проекта'!BP$1)</f>
        <v>0</v>
      </c>
      <c r="BQ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проекта'!BQ$1)</f>
        <v>0</v>
      </c>
      <c r="BR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проекта'!BR$1)</f>
        <v>0</v>
      </c>
      <c r="BS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проекта'!BS$1)</f>
        <v>0</v>
      </c>
      <c r="BT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проекта'!BT$1)</f>
        <v>0</v>
      </c>
      <c r="BU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проекта'!BU$1)</f>
        <v>0</v>
      </c>
      <c r="BV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проекта'!BV$1)</f>
        <v>0</v>
      </c>
      <c r="BW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проекта'!BW$1)</f>
        <v>0</v>
      </c>
      <c r="BX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проекта'!BX$1)</f>
        <v>0</v>
      </c>
      <c r="BY6" s="59">
        <f>SUMIFS(Таблица1[[Загрузка респлан]:[Загрузка респлан]],Таблица1[[Специалист]:[Специалист]],'шаблон расчета проекта'!$A6,Таблица1[[Месяц выполнения работ]:[Месяц выполнения работ]],'шаблон расчета проекта'!BY$1)</f>
        <v>0</v>
      </c>
      <c r="BZ6" s="60">
        <f t="shared" si="1"/>
        <v>1.23</v>
      </c>
      <c r="CA6" s="51"/>
    </row>
    <row r="7" spans="1:79" x14ac:dyDescent="0.3">
      <c r="A7" s="54" t="str">
        <v>Черепанов Валерий</v>
      </c>
      <c r="B7" s="55" t="str">
        <f>IF(ISERROR(SEARCH("ООО",IFERROR(_xlfn.XLOOKUP(A7,'расчеты_T&amp;M'!B:B,'расчеты_T&amp;M'!C:C),0))),IF(ISERROR(SEARCH("СМЗ",IFERROR(_xlfn.XLOOKUP(A7,'расчеты_T&amp;M'!B:B,'расчеты_T&amp;M'!C:C),0))),IF(ISERROR(SEARCH("ИП",IFERROR(_xlfn.XLOOKUP(A7,'расчеты_T&amp;M'!B:B,'расчеты_T&amp;M'!C:C),0))),IF(ISERROR(SEARCH("ГПХ",IFERROR(_xlfn.XLOOKUP(A7,'расчеты_T&amp;M'!B:B,'расчеты_T&amp;M'!C:C),0))),"","ГПХ"),"ИП"),"СМЗ"),"ЮЛ")</f>
        <v>СМЗ</v>
      </c>
      <c r="C7" s="56">
        <f t="shared" si="0"/>
        <v>0</v>
      </c>
      <c r="D7" s="57">
        <f>IFERROR(_xlfn.XLOOKUP(A7,Таблица1[Специалист],Таблица1[Ставка НДС]),0)</f>
        <v>0</v>
      </c>
      <c r="E7" s="58">
        <f>IFERROR(_xlfn.XLOOKUP(A7,Таблица1[Специалист],Таблица1[Ставка Gross])/(1+IFERROR(_xlfn.XLOOKUP(A7,Таблица1[Специалист],Таблица1[Ставка НДС]),0)),0)</f>
        <v>3130</v>
      </c>
      <c r="F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проекта'!F$1)</f>
        <v>0</v>
      </c>
      <c r="G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проекта'!G$1)</f>
        <v>0</v>
      </c>
      <c r="H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проекта'!H$1)</f>
        <v>0</v>
      </c>
      <c r="I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проекта'!I$1)</f>
        <v>0</v>
      </c>
      <c r="J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проекта'!J$1)</f>
        <v>0</v>
      </c>
      <c r="K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проекта'!K$1)</f>
        <v>0</v>
      </c>
      <c r="L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проекта'!L$1)</f>
        <v>0</v>
      </c>
      <c r="M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проекта'!M$1)</f>
        <v>0</v>
      </c>
      <c r="N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проекта'!N$1)</f>
        <v>0</v>
      </c>
      <c r="O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проекта'!O$1)</f>
        <v>0</v>
      </c>
      <c r="P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проекта'!P$1)</f>
        <v>0</v>
      </c>
      <c r="Q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проекта'!Q$1)</f>
        <v>0</v>
      </c>
      <c r="R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проекта'!R$1)</f>
        <v>0</v>
      </c>
      <c r="S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проекта'!S$1)</f>
        <v>0</v>
      </c>
      <c r="T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проекта'!T$1)</f>
        <v>0</v>
      </c>
      <c r="U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проекта'!U$1)</f>
        <v>0</v>
      </c>
      <c r="V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проекта'!V$1)</f>
        <v>0</v>
      </c>
      <c r="W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проекта'!W$1)</f>
        <v>0</v>
      </c>
      <c r="X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проекта'!X$1)</f>
        <v>0</v>
      </c>
      <c r="Y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проекта'!Y$1)</f>
        <v>0</v>
      </c>
      <c r="Z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проекта'!Z$1)</f>
        <v>0</v>
      </c>
      <c r="AA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проекта'!AA$1)</f>
        <v>0</v>
      </c>
      <c r="AB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проекта'!AB$1)</f>
        <v>0</v>
      </c>
      <c r="AC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проекта'!AC$1)</f>
        <v>0</v>
      </c>
      <c r="AD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проекта'!AD$1)</f>
        <v>0</v>
      </c>
      <c r="AE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проекта'!AE$1)</f>
        <v>0</v>
      </c>
      <c r="AF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проекта'!AF$1)</f>
        <v>0</v>
      </c>
      <c r="AG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проекта'!AG$1)</f>
        <v>0</v>
      </c>
      <c r="AH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проекта'!AH$1)</f>
        <v>0.28000000000000003</v>
      </c>
      <c r="AI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проекта'!AI$1)</f>
        <v>0.85</v>
      </c>
      <c r="AJ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проекта'!AJ$1)</f>
        <v>0</v>
      </c>
      <c r="AK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проекта'!AK$1)</f>
        <v>0</v>
      </c>
      <c r="AL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проекта'!AL$1)</f>
        <v>0</v>
      </c>
      <c r="AM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проекта'!AM$1)</f>
        <v>0</v>
      </c>
      <c r="AN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проекта'!AN$1)</f>
        <v>0</v>
      </c>
      <c r="AO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проекта'!AO$1)</f>
        <v>0</v>
      </c>
      <c r="AP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проекта'!AP$1)</f>
        <v>0</v>
      </c>
      <c r="AQ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проекта'!AQ$1)</f>
        <v>0</v>
      </c>
      <c r="AR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проекта'!AR$1)</f>
        <v>0</v>
      </c>
      <c r="AS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проекта'!AS$1)</f>
        <v>0</v>
      </c>
      <c r="AT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проекта'!AT$1)</f>
        <v>0</v>
      </c>
      <c r="AU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проекта'!AU$1)</f>
        <v>0</v>
      </c>
      <c r="AV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проекта'!AV$1)</f>
        <v>0</v>
      </c>
      <c r="AW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проекта'!AW$1)</f>
        <v>0</v>
      </c>
      <c r="AX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проекта'!AX$1)</f>
        <v>0</v>
      </c>
      <c r="AY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проекта'!AY$1)</f>
        <v>0</v>
      </c>
      <c r="AZ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проекта'!AZ$1)</f>
        <v>0</v>
      </c>
      <c r="BA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проекта'!BA$1)</f>
        <v>0</v>
      </c>
      <c r="BB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проекта'!BB$1)</f>
        <v>0</v>
      </c>
      <c r="BC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проекта'!BC$1)</f>
        <v>0</v>
      </c>
      <c r="BD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проекта'!BD$1)</f>
        <v>0</v>
      </c>
      <c r="BE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проекта'!BE$1)</f>
        <v>0</v>
      </c>
      <c r="BF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проекта'!BF$1)</f>
        <v>0</v>
      </c>
      <c r="BG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проекта'!BG$1)</f>
        <v>0</v>
      </c>
      <c r="BH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проекта'!BH$1)</f>
        <v>0</v>
      </c>
      <c r="BI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проекта'!BI$1)</f>
        <v>0</v>
      </c>
      <c r="BJ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проекта'!BJ$1)</f>
        <v>0</v>
      </c>
      <c r="BK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проекта'!BK$1)</f>
        <v>0</v>
      </c>
      <c r="BL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проекта'!BL$1)</f>
        <v>0</v>
      </c>
      <c r="BM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проекта'!BM$1)</f>
        <v>0</v>
      </c>
      <c r="BN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проекта'!BN$1)</f>
        <v>0</v>
      </c>
      <c r="BO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проекта'!BO$1)</f>
        <v>0</v>
      </c>
      <c r="BP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проекта'!BP$1)</f>
        <v>0</v>
      </c>
      <c r="BQ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проекта'!BQ$1)</f>
        <v>0</v>
      </c>
      <c r="BR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проекта'!BR$1)</f>
        <v>0</v>
      </c>
      <c r="BS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проекта'!BS$1)</f>
        <v>0</v>
      </c>
      <c r="BT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проекта'!BT$1)</f>
        <v>0</v>
      </c>
      <c r="BU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проекта'!BU$1)</f>
        <v>0</v>
      </c>
      <c r="BV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проекта'!BV$1)</f>
        <v>0</v>
      </c>
      <c r="BW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проекта'!BW$1)</f>
        <v>0</v>
      </c>
      <c r="BX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проекта'!BX$1)</f>
        <v>0</v>
      </c>
      <c r="BY7" s="59">
        <f>SUMIFS(Таблица1[[Загрузка респлан]:[Загрузка респлан]],Таблица1[[Специалист]:[Специалист]],'шаблон расчета проекта'!$A7,Таблица1[[Месяц выполнения работ]:[Месяц выполнения работ]],'шаблон расчета проекта'!BY$1)</f>
        <v>0</v>
      </c>
      <c r="BZ7" s="60">
        <f t="shared" si="1"/>
        <v>1.1299999999999999</v>
      </c>
      <c r="CA7" s="51"/>
    </row>
    <row r="8" spans="1:79" x14ac:dyDescent="0.3">
      <c r="A8" s="54" t="str">
        <v>Сазонов Павел</v>
      </c>
      <c r="B8" s="55" t="str">
        <f>IF(ISERROR(SEARCH("ООО",IFERROR(_xlfn.XLOOKUP(A8,'расчеты_T&amp;M'!B:B,'расчеты_T&amp;M'!C:C),0))),IF(ISERROR(SEARCH("СМЗ",IFERROR(_xlfn.XLOOKUP(A8,'расчеты_T&amp;M'!B:B,'расчеты_T&amp;M'!C:C),0))),IF(ISERROR(SEARCH("ИП",IFERROR(_xlfn.XLOOKUP(A8,'расчеты_T&amp;M'!B:B,'расчеты_T&amp;M'!C:C),0))),IF(ISERROR(SEARCH("ГПХ",IFERROR(_xlfn.XLOOKUP(A8,'расчеты_T&amp;M'!B:B,'расчеты_T&amp;M'!C:C),0))),"","ГПХ"),"ИП"),"СМЗ"),"ЮЛ")</f>
        <v>ИП</v>
      </c>
      <c r="C8" s="56">
        <f t="shared" si="0"/>
        <v>0</v>
      </c>
      <c r="D8" s="57">
        <f>IFERROR(_xlfn.XLOOKUP(A8,Таблица1[Специалист],Таблица1[Ставка НДС]),0)</f>
        <v>0</v>
      </c>
      <c r="E8" s="58">
        <f>IFERROR(_xlfn.XLOOKUP(A8,Таблица1[Специалист],Таблица1[Ставка Gross])/(1+IFERROR(_xlfn.XLOOKUP(A8,Таблица1[Специалист],Таблица1[Ставка НДС]),0)),0)</f>
        <v>2500</v>
      </c>
      <c r="F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проекта'!F$1)</f>
        <v>0</v>
      </c>
      <c r="G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проекта'!G$1)</f>
        <v>0</v>
      </c>
      <c r="H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проекта'!H$1)</f>
        <v>0</v>
      </c>
      <c r="I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проекта'!I$1)</f>
        <v>0</v>
      </c>
      <c r="J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проекта'!J$1)</f>
        <v>0</v>
      </c>
      <c r="K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проекта'!K$1)</f>
        <v>0</v>
      </c>
      <c r="L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проекта'!L$1)</f>
        <v>0</v>
      </c>
      <c r="M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проекта'!M$1)</f>
        <v>0</v>
      </c>
      <c r="N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проекта'!N$1)</f>
        <v>0</v>
      </c>
      <c r="O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проекта'!O$1)</f>
        <v>0</v>
      </c>
      <c r="P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проекта'!P$1)</f>
        <v>0</v>
      </c>
      <c r="Q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проекта'!Q$1)</f>
        <v>0</v>
      </c>
      <c r="R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проекта'!R$1)</f>
        <v>0</v>
      </c>
      <c r="S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проекта'!S$1)</f>
        <v>0</v>
      </c>
      <c r="T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проекта'!T$1)</f>
        <v>0</v>
      </c>
      <c r="U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проекта'!U$1)</f>
        <v>0</v>
      </c>
      <c r="V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проекта'!V$1)</f>
        <v>0</v>
      </c>
      <c r="W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проекта'!W$1)</f>
        <v>0</v>
      </c>
      <c r="X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проекта'!X$1)</f>
        <v>0</v>
      </c>
      <c r="Y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проекта'!Y$1)</f>
        <v>0</v>
      </c>
      <c r="Z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проекта'!Z$1)</f>
        <v>0</v>
      </c>
      <c r="AA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проекта'!AA$1)</f>
        <v>0</v>
      </c>
      <c r="AB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проекта'!AB$1)</f>
        <v>0</v>
      </c>
      <c r="AC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проекта'!AC$1)</f>
        <v>0</v>
      </c>
      <c r="AD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проекта'!AD$1)</f>
        <v>0</v>
      </c>
      <c r="AE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проекта'!AE$1)</f>
        <v>0</v>
      </c>
      <c r="AF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проекта'!AF$1)</f>
        <v>0</v>
      </c>
      <c r="AG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проекта'!AG$1)</f>
        <v>0</v>
      </c>
      <c r="AH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проекта'!AH$1)</f>
        <v>0</v>
      </c>
      <c r="AI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проекта'!AI$1)</f>
        <v>0.34</v>
      </c>
      <c r="AJ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проекта'!AJ$1)</f>
        <v>0</v>
      </c>
      <c r="AK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проекта'!AK$1)</f>
        <v>0</v>
      </c>
      <c r="AL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проекта'!AL$1)</f>
        <v>0</v>
      </c>
      <c r="AM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проекта'!AM$1)</f>
        <v>0</v>
      </c>
      <c r="AN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проекта'!AN$1)</f>
        <v>0</v>
      </c>
      <c r="AO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проекта'!AO$1)</f>
        <v>0</v>
      </c>
      <c r="AP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проекта'!AP$1)</f>
        <v>0</v>
      </c>
      <c r="AQ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проекта'!AQ$1)</f>
        <v>0</v>
      </c>
      <c r="AR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проекта'!AR$1)</f>
        <v>0</v>
      </c>
      <c r="AS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проекта'!AS$1)</f>
        <v>0</v>
      </c>
      <c r="AT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проекта'!AT$1)</f>
        <v>0</v>
      </c>
      <c r="AU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проекта'!AU$1)</f>
        <v>0</v>
      </c>
      <c r="AV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проекта'!AV$1)</f>
        <v>0</v>
      </c>
      <c r="AW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проекта'!AW$1)</f>
        <v>0</v>
      </c>
      <c r="AX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проекта'!AX$1)</f>
        <v>0</v>
      </c>
      <c r="AY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проекта'!AY$1)</f>
        <v>0</v>
      </c>
      <c r="AZ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проекта'!AZ$1)</f>
        <v>0</v>
      </c>
      <c r="BA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проекта'!BA$1)</f>
        <v>0</v>
      </c>
      <c r="BB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проекта'!BB$1)</f>
        <v>0</v>
      </c>
      <c r="BC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проекта'!BC$1)</f>
        <v>0</v>
      </c>
      <c r="BD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проекта'!BD$1)</f>
        <v>0</v>
      </c>
      <c r="BE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проекта'!BE$1)</f>
        <v>0</v>
      </c>
      <c r="BF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проекта'!BF$1)</f>
        <v>0</v>
      </c>
      <c r="BG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проекта'!BG$1)</f>
        <v>0</v>
      </c>
      <c r="BH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проекта'!BH$1)</f>
        <v>0</v>
      </c>
      <c r="BI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проекта'!BI$1)</f>
        <v>0</v>
      </c>
      <c r="BJ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проекта'!BJ$1)</f>
        <v>0</v>
      </c>
      <c r="BK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проекта'!BK$1)</f>
        <v>0</v>
      </c>
      <c r="BL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проекта'!BL$1)</f>
        <v>0</v>
      </c>
      <c r="BM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проекта'!BM$1)</f>
        <v>0</v>
      </c>
      <c r="BN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проекта'!BN$1)</f>
        <v>0</v>
      </c>
      <c r="BO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проекта'!BO$1)</f>
        <v>0</v>
      </c>
      <c r="BP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проекта'!BP$1)</f>
        <v>0</v>
      </c>
      <c r="BQ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проекта'!BQ$1)</f>
        <v>0</v>
      </c>
      <c r="BR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проекта'!BR$1)</f>
        <v>0</v>
      </c>
      <c r="BS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проекта'!BS$1)</f>
        <v>0</v>
      </c>
      <c r="BT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проекта'!BT$1)</f>
        <v>0</v>
      </c>
      <c r="BU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проекта'!BU$1)</f>
        <v>0</v>
      </c>
      <c r="BV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проекта'!BV$1)</f>
        <v>0</v>
      </c>
      <c r="BW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проекта'!BW$1)</f>
        <v>0</v>
      </c>
      <c r="BX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проекта'!BX$1)</f>
        <v>0</v>
      </c>
      <c r="BY8" s="59">
        <f>SUMIFS(Таблица1[[Загрузка респлан]:[Загрузка респлан]],Таблица1[[Специалист]:[Специалист]],'шаблон расчета проекта'!$A8,Таблица1[[Месяц выполнения работ]:[Месяц выполнения работ]],'шаблон расчета проекта'!BY$1)</f>
        <v>0</v>
      </c>
      <c r="BZ8" s="60">
        <f t="shared" si="1"/>
        <v>0.34</v>
      </c>
      <c r="CA8" s="51"/>
    </row>
    <row r="9" spans="1:79" x14ac:dyDescent="0.3">
      <c r="A9" s="54"/>
      <c r="B9" s="55" t="str">
        <f>IF(ISERROR(SEARCH("ООО",IFERROR(_xlfn.XLOOKUP(A9,'расчеты_T&amp;M'!B:B,'расчеты_T&amp;M'!C:C),0))),IF(ISERROR(SEARCH("СМЗ",IFERROR(_xlfn.XLOOKUP(A9,'расчеты_T&amp;M'!B:B,'расчеты_T&amp;M'!C:C),0))),IF(ISERROR(SEARCH("ИП",IFERROR(_xlfn.XLOOKUP(A9,'расчеты_T&amp;M'!B:B,'расчеты_T&amp;M'!C:C),0))),IF(ISERROR(SEARCH("ГПХ",IFERROR(_xlfn.XLOOKUP(A9,'расчеты_T&amp;M'!B:B,'расчеты_T&amp;M'!C:C),0))),"","ГПХ"),"ИП"),"СМЗ"),"ЮЛ")</f>
        <v/>
      </c>
      <c r="C9" s="56">
        <f t="shared" si="0"/>
        <v>0</v>
      </c>
      <c r="D9" s="57">
        <f>IFERROR(_xlfn.XLOOKUP(A9,Таблица1[Специалист],Таблица1[Ставка НДС]),0)</f>
        <v>0</v>
      </c>
      <c r="E9" s="58">
        <f>IFERROR(_xlfn.XLOOKUP(A9,Таблица1[Специалист],Таблица1[Ставка Gross])/(1+IFERROR(_xlfn.XLOOKUP(A9,Таблица1[Специалист],Таблица1[Ставка НДС]),0)),0)</f>
        <v>0</v>
      </c>
      <c r="F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проекта'!F$1)</f>
        <v>0</v>
      </c>
      <c r="G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проекта'!G$1)</f>
        <v>0</v>
      </c>
      <c r="H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проекта'!H$1)</f>
        <v>0</v>
      </c>
      <c r="I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проекта'!I$1)</f>
        <v>0</v>
      </c>
      <c r="J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проекта'!J$1)</f>
        <v>0</v>
      </c>
      <c r="K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проекта'!K$1)</f>
        <v>0</v>
      </c>
      <c r="L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проекта'!L$1)</f>
        <v>0</v>
      </c>
      <c r="M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проекта'!M$1)</f>
        <v>0</v>
      </c>
      <c r="N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проекта'!N$1)</f>
        <v>0</v>
      </c>
      <c r="O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проекта'!O$1)</f>
        <v>0</v>
      </c>
      <c r="P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проекта'!P$1)</f>
        <v>0</v>
      </c>
      <c r="Q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проекта'!Q$1)</f>
        <v>0</v>
      </c>
      <c r="R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проекта'!R$1)</f>
        <v>0</v>
      </c>
      <c r="S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проекта'!S$1)</f>
        <v>0</v>
      </c>
      <c r="T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проекта'!T$1)</f>
        <v>0</v>
      </c>
      <c r="U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проекта'!U$1)</f>
        <v>0</v>
      </c>
      <c r="V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проекта'!V$1)</f>
        <v>0</v>
      </c>
      <c r="W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проекта'!W$1)</f>
        <v>0</v>
      </c>
      <c r="X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проекта'!X$1)</f>
        <v>0</v>
      </c>
      <c r="Y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проекта'!Y$1)</f>
        <v>0</v>
      </c>
      <c r="Z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проекта'!Z$1)</f>
        <v>0</v>
      </c>
      <c r="AA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проекта'!AA$1)</f>
        <v>0</v>
      </c>
      <c r="AB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проекта'!AB$1)</f>
        <v>0</v>
      </c>
      <c r="AC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проекта'!AC$1)</f>
        <v>0</v>
      </c>
      <c r="AD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проекта'!AD$1)</f>
        <v>0</v>
      </c>
      <c r="AE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проекта'!AE$1)</f>
        <v>0</v>
      </c>
      <c r="AF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проекта'!AF$1)</f>
        <v>0</v>
      </c>
      <c r="AG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проекта'!AG$1)</f>
        <v>0</v>
      </c>
      <c r="AH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проекта'!AH$1)</f>
        <v>0</v>
      </c>
      <c r="AI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проекта'!AI$1)</f>
        <v>0</v>
      </c>
      <c r="AJ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проекта'!AJ$1)</f>
        <v>0</v>
      </c>
      <c r="AK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проекта'!AK$1)</f>
        <v>0</v>
      </c>
      <c r="AL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проекта'!AL$1)</f>
        <v>0</v>
      </c>
      <c r="AM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проекта'!AM$1)</f>
        <v>0</v>
      </c>
      <c r="AN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проекта'!AN$1)</f>
        <v>0</v>
      </c>
      <c r="AO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проекта'!AO$1)</f>
        <v>0</v>
      </c>
      <c r="AP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проекта'!AP$1)</f>
        <v>0</v>
      </c>
      <c r="AQ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проекта'!AQ$1)</f>
        <v>0</v>
      </c>
      <c r="AR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проекта'!AR$1)</f>
        <v>0</v>
      </c>
      <c r="AS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проекта'!AS$1)</f>
        <v>0</v>
      </c>
      <c r="AT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проекта'!AT$1)</f>
        <v>0</v>
      </c>
      <c r="AU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проекта'!AU$1)</f>
        <v>0</v>
      </c>
      <c r="AV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проекта'!AV$1)</f>
        <v>0</v>
      </c>
      <c r="AW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проекта'!AW$1)</f>
        <v>0</v>
      </c>
      <c r="AX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проекта'!AX$1)</f>
        <v>0</v>
      </c>
      <c r="AY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проекта'!AY$1)</f>
        <v>0</v>
      </c>
      <c r="AZ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проекта'!AZ$1)</f>
        <v>0</v>
      </c>
      <c r="BA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проекта'!BA$1)</f>
        <v>0</v>
      </c>
      <c r="BB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проекта'!BB$1)</f>
        <v>0</v>
      </c>
      <c r="BC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проекта'!BC$1)</f>
        <v>0</v>
      </c>
      <c r="BD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проекта'!BD$1)</f>
        <v>0</v>
      </c>
      <c r="BE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проекта'!BE$1)</f>
        <v>0</v>
      </c>
      <c r="BF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проекта'!BF$1)</f>
        <v>0</v>
      </c>
      <c r="BG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проекта'!BG$1)</f>
        <v>0</v>
      </c>
      <c r="BH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проекта'!BH$1)</f>
        <v>0</v>
      </c>
      <c r="BI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проекта'!BI$1)</f>
        <v>0</v>
      </c>
      <c r="BJ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проекта'!BJ$1)</f>
        <v>0</v>
      </c>
      <c r="BK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проекта'!BK$1)</f>
        <v>0</v>
      </c>
      <c r="BL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проекта'!BL$1)</f>
        <v>0</v>
      </c>
      <c r="BM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проекта'!BM$1)</f>
        <v>0</v>
      </c>
      <c r="BN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проекта'!BN$1)</f>
        <v>0</v>
      </c>
      <c r="BO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проекта'!BO$1)</f>
        <v>0</v>
      </c>
      <c r="BP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проекта'!BP$1)</f>
        <v>0</v>
      </c>
      <c r="BQ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проекта'!BQ$1)</f>
        <v>0</v>
      </c>
      <c r="BR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проекта'!BR$1)</f>
        <v>0</v>
      </c>
      <c r="BS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проекта'!BS$1)</f>
        <v>0</v>
      </c>
      <c r="BT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проекта'!BT$1)</f>
        <v>0</v>
      </c>
      <c r="BU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проекта'!BU$1)</f>
        <v>0</v>
      </c>
      <c r="BV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проекта'!BV$1)</f>
        <v>0</v>
      </c>
      <c r="BW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проекта'!BW$1)</f>
        <v>0</v>
      </c>
      <c r="BX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проекта'!BX$1)</f>
        <v>0</v>
      </c>
      <c r="BY9" s="59">
        <f>SUMIFS(Таблица1[[Загрузка респлан]:[Загрузка респлан]],Таблица1[[Специалист]:[Специалист]],'шаблон расчета проекта'!$A9,Таблица1[[Месяц выполнения работ]:[Месяц выполнения работ]],'шаблон расчета проекта'!BY$1)</f>
        <v>0</v>
      </c>
      <c r="BZ9" s="60">
        <f t="shared" si="1"/>
        <v>0</v>
      </c>
      <c r="CA9" s="51"/>
    </row>
    <row r="10" spans="1:79" x14ac:dyDescent="0.3">
      <c r="A10" s="54"/>
      <c r="B10" s="55" t="str">
        <f>IF(ISERROR(SEARCH("ООО",IFERROR(_xlfn.XLOOKUP(A10,'расчеты_T&amp;M'!B:B,'расчеты_T&amp;M'!C:C),0))),IF(ISERROR(SEARCH("СМЗ",IFERROR(_xlfn.XLOOKUP(A10,'расчеты_T&amp;M'!B:B,'расчеты_T&amp;M'!C:C),0))),IF(ISERROR(SEARCH("ИП",IFERROR(_xlfn.XLOOKUP(A10,'расчеты_T&amp;M'!B:B,'расчеты_T&amp;M'!C:C),0))),IF(ISERROR(SEARCH("ГПХ",IFERROR(_xlfn.XLOOKUP(A10,'расчеты_T&amp;M'!B:B,'расчеты_T&amp;M'!C:C),0))),"","ГПХ"),"ИП"),"СМЗ"),"ЮЛ")</f>
        <v/>
      </c>
      <c r="C10" s="56">
        <f t="shared" si="0"/>
        <v>0</v>
      </c>
      <c r="D10" s="57">
        <f>IFERROR(_xlfn.XLOOKUP(A10,Таблица1[Специалист],Таблица1[Ставка НДС]),0)</f>
        <v>0</v>
      </c>
      <c r="E10" s="58">
        <f>IFERROR(_xlfn.XLOOKUP(A10,Таблица1[Специалист],Таблица1[Ставка Gross])/(1+IFERROR(_xlfn.XLOOKUP(A10,Таблица1[Специалист],Таблица1[Ставка НДС]),0)),0)</f>
        <v>0</v>
      </c>
      <c r="F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проекта'!F$1)</f>
        <v>0</v>
      </c>
      <c r="G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проекта'!G$1)</f>
        <v>0</v>
      </c>
      <c r="H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проекта'!H$1)</f>
        <v>0</v>
      </c>
      <c r="I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проекта'!I$1)</f>
        <v>0</v>
      </c>
      <c r="J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проекта'!J$1)</f>
        <v>0</v>
      </c>
      <c r="K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проекта'!K$1)</f>
        <v>0</v>
      </c>
      <c r="L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проекта'!L$1)</f>
        <v>0</v>
      </c>
      <c r="M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проекта'!M$1)</f>
        <v>0</v>
      </c>
      <c r="N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проекта'!N$1)</f>
        <v>0</v>
      </c>
      <c r="O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проекта'!O$1)</f>
        <v>0</v>
      </c>
      <c r="P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проекта'!P$1)</f>
        <v>0</v>
      </c>
      <c r="Q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проекта'!Q$1)</f>
        <v>0</v>
      </c>
      <c r="R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проекта'!R$1)</f>
        <v>0</v>
      </c>
      <c r="S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проекта'!S$1)</f>
        <v>0</v>
      </c>
      <c r="T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проекта'!T$1)</f>
        <v>0</v>
      </c>
      <c r="U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проекта'!U$1)</f>
        <v>0</v>
      </c>
      <c r="V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проекта'!V$1)</f>
        <v>0</v>
      </c>
      <c r="W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проекта'!W$1)</f>
        <v>0</v>
      </c>
      <c r="X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проекта'!X$1)</f>
        <v>0</v>
      </c>
      <c r="Y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проекта'!Y$1)</f>
        <v>0</v>
      </c>
      <c r="Z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проекта'!Z$1)</f>
        <v>0</v>
      </c>
      <c r="AA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проекта'!AA$1)</f>
        <v>0</v>
      </c>
      <c r="AB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проекта'!AB$1)</f>
        <v>0</v>
      </c>
      <c r="AC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проекта'!AC$1)</f>
        <v>0</v>
      </c>
      <c r="AD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проекта'!AD$1)</f>
        <v>0</v>
      </c>
      <c r="AE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проекта'!AE$1)</f>
        <v>0</v>
      </c>
      <c r="AF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проекта'!AF$1)</f>
        <v>0</v>
      </c>
      <c r="AG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проекта'!AG$1)</f>
        <v>0</v>
      </c>
      <c r="AH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проекта'!AH$1)</f>
        <v>0</v>
      </c>
      <c r="AI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проекта'!AI$1)</f>
        <v>0</v>
      </c>
      <c r="AJ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проекта'!AJ$1)</f>
        <v>0</v>
      </c>
      <c r="AK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проекта'!AK$1)</f>
        <v>0</v>
      </c>
      <c r="AL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проекта'!AL$1)</f>
        <v>0</v>
      </c>
      <c r="AM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проекта'!AM$1)</f>
        <v>0</v>
      </c>
      <c r="AN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проекта'!AN$1)</f>
        <v>0</v>
      </c>
      <c r="AO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проекта'!AO$1)</f>
        <v>0</v>
      </c>
      <c r="AP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проекта'!AP$1)</f>
        <v>0</v>
      </c>
      <c r="AQ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проекта'!AQ$1)</f>
        <v>0</v>
      </c>
      <c r="AR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проекта'!AR$1)</f>
        <v>0</v>
      </c>
      <c r="AS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проекта'!AS$1)</f>
        <v>0</v>
      </c>
      <c r="AT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проекта'!AT$1)</f>
        <v>0</v>
      </c>
      <c r="AU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проекта'!AU$1)</f>
        <v>0</v>
      </c>
      <c r="AV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проекта'!AV$1)</f>
        <v>0</v>
      </c>
      <c r="AW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проекта'!AW$1)</f>
        <v>0</v>
      </c>
      <c r="AX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проекта'!AX$1)</f>
        <v>0</v>
      </c>
      <c r="AY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проекта'!AY$1)</f>
        <v>0</v>
      </c>
      <c r="AZ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проекта'!AZ$1)</f>
        <v>0</v>
      </c>
      <c r="BA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проекта'!BA$1)</f>
        <v>0</v>
      </c>
      <c r="BB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проекта'!BB$1)</f>
        <v>0</v>
      </c>
      <c r="BC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проекта'!BC$1)</f>
        <v>0</v>
      </c>
      <c r="BD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проекта'!BD$1)</f>
        <v>0</v>
      </c>
      <c r="BE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проекта'!BE$1)</f>
        <v>0</v>
      </c>
      <c r="BF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проекта'!BF$1)</f>
        <v>0</v>
      </c>
      <c r="BG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проекта'!BG$1)</f>
        <v>0</v>
      </c>
      <c r="BH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проекта'!BH$1)</f>
        <v>0</v>
      </c>
      <c r="BI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проекта'!BI$1)</f>
        <v>0</v>
      </c>
      <c r="BJ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проекта'!BJ$1)</f>
        <v>0</v>
      </c>
      <c r="BK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проекта'!BK$1)</f>
        <v>0</v>
      </c>
      <c r="BL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проекта'!BL$1)</f>
        <v>0</v>
      </c>
      <c r="BM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проекта'!BM$1)</f>
        <v>0</v>
      </c>
      <c r="BN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проекта'!BN$1)</f>
        <v>0</v>
      </c>
      <c r="BO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проекта'!BO$1)</f>
        <v>0</v>
      </c>
      <c r="BP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проекта'!BP$1)</f>
        <v>0</v>
      </c>
      <c r="BQ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проекта'!BQ$1)</f>
        <v>0</v>
      </c>
      <c r="BR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проекта'!BR$1)</f>
        <v>0</v>
      </c>
      <c r="BS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проекта'!BS$1)</f>
        <v>0</v>
      </c>
      <c r="BT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проекта'!BT$1)</f>
        <v>0</v>
      </c>
      <c r="BU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проекта'!BU$1)</f>
        <v>0</v>
      </c>
      <c r="BV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проекта'!BV$1)</f>
        <v>0</v>
      </c>
      <c r="BW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проекта'!BW$1)</f>
        <v>0</v>
      </c>
      <c r="BX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проекта'!BX$1)</f>
        <v>0</v>
      </c>
      <c r="BY10" s="59">
        <f>SUMIFS(Таблица1[[Загрузка респлан]:[Загрузка респлан]],Таблица1[[Специалист]:[Специалист]],'шаблон расчета проекта'!$A10,Таблица1[[Месяц выполнения работ]:[Месяц выполнения работ]],'шаблон расчета проекта'!BY$1)</f>
        <v>0</v>
      </c>
      <c r="BZ10" s="60">
        <f t="shared" si="1"/>
        <v>0</v>
      </c>
      <c r="CA10" s="51"/>
    </row>
    <row r="11" spans="1:79" x14ac:dyDescent="0.3">
      <c r="A11" s="54"/>
      <c r="B11" s="55" t="str">
        <f>IF(ISERROR(SEARCH("ООО",IFERROR(_xlfn.XLOOKUP(A11,'расчеты_T&amp;M'!B:B,'расчеты_T&amp;M'!C:C),0))),IF(ISERROR(SEARCH("СМЗ",IFERROR(_xlfn.XLOOKUP(A11,'расчеты_T&amp;M'!B:B,'расчеты_T&amp;M'!C:C),0))),IF(ISERROR(SEARCH("ИП",IFERROR(_xlfn.XLOOKUP(A11,'расчеты_T&amp;M'!B:B,'расчеты_T&amp;M'!C:C),0))),IF(ISERROR(SEARCH("ГПХ",IFERROR(_xlfn.XLOOKUP(A11,'расчеты_T&amp;M'!B:B,'расчеты_T&amp;M'!C:C),0))),"","ГПХ"),"ИП"),"СМЗ"),"ЮЛ")</f>
        <v/>
      </c>
      <c r="C11" s="56">
        <f t="shared" si="0"/>
        <v>0</v>
      </c>
      <c r="D11" s="57">
        <f>IFERROR(_xlfn.XLOOKUP(A11,Таблица1[Специалист],Таблица1[Ставка НДС]),0)</f>
        <v>0</v>
      </c>
      <c r="E11" s="58">
        <f>IFERROR(_xlfn.XLOOKUP(A11,Таблица1[Специалист],Таблица1[Ставка Gross])/(1+IFERROR(_xlfn.XLOOKUP(A11,Таблица1[Специалист],Таблица1[Ставка НДС]),0)),0)</f>
        <v>0</v>
      </c>
      <c r="F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проекта'!F$1)</f>
        <v>0</v>
      </c>
      <c r="G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проекта'!G$1)</f>
        <v>0</v>
      </c>
      <c r="H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проекта'!H$1)</f>
        <v>0</v>
      </c>
      <c r="I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проекта'!I$1)</f>
        <v>0</v>
      </c>
      <c r="J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проекта'!J$1)</f>
        <v>0</v>
      </c>
      <c r="K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проекта'!K$1)</f>
        <v>0</v>
      </c>
      <c r="L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проекта'!L$1)</f>
        <v>0</v>
      </c>
      <c r="M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проекта'!M$1)</f>
        <v>0</v>
      </c>
      <c r="N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проекта'!N$1)</f>
        <v>0</v>
      </c>
      <c r="O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проекта'!O$1)</f>
        <v>0</v>
      </c>
      <c r="P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проекта'!P$1)</f>
        <v>0</v>
      </c>
      <c r="Q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проекта'!Q$1)</f>
        <v>0</v>
      </c>
      <c r="R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проекта'!R$1)</f>
        <v>0</v>
      </c>
      <c r="S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проекта'!S$1)</f>
        <v>0</v>
      </c>
      <c r="T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проекта'!T$1)</f>
        <v>0</v>
      </c>
      <c r="U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проекта'!U$1)</f>
        <v>0</v>
      </c>
      <c r="V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проекта'!V$1)</f>
        <v>0</v>
      </c>
      <c r="W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проекта'!W$1)</f>
        <v>0</v>
      </c>
      <c r="X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проекта'!X$1)</f>
        <v>0</v>
      </c>
      <c r="Y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проекта'!Y$1)</f>
        <v>0</v>
      </c>
      <c r="Z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проекта'!Z$1)</f>
        <v>0</v>
      </c>
      <c r="AA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проекта'!AA$1)</f>
        <v>0</v>
      </c>
      <c r="AB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проекта'!AB$1)</f>
        <v>0</v>
      </c>
      <c r="AC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проекта'!AC$1)</f>
        <v>0</v>
      </c>
      <c r="AD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проекта'!AD$1)</f>
        <v>0</v>
      </c>
      <c r="AE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проекта'!AE$1)</f>
        <v>0</v>
      </c>
      <c r="AF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проекта'!AF$1)</f>
        <v>0</v>
      </c>
      <c r="AG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проекта'!AG$1)</f>
        <v>0</v>
      </c>
      <c r="AH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проекта'!AH$1)</f>
        <v>0</v>
      </c>
      <c r="AI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проекта'!AI$1)</f>
        <v>0</v>
      </c>
      <c r="AJ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проекта'!AJ$1)</f>
        <v>0</v>
      </c>
      <c r="AK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проекта'!AK$1)</f>
        <v>0</v>
      </c>
      <c r="AL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проекта'!AL$1)</f>
        <v>0</v>
      </c>
      <c r="AM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проекта'!AM$1)</f>
        <v>0</v>
      </c>
      <c r="AN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проекта'!AN$1)</f>
        <v>0</v>
      </c>
      <c r="AO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проекта'!AO$1)</f>
        <v>0</v>
      </c>
      <c r="AP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проекта'!AP$1)</f>
        <v>0</v>
      </c>
      <c r="AQ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проекта'!AQ$1)</f>
        <v>0</v>
      </c>
      <c r="AR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проекта'!AR$1)</f>
        <v>0</v>
      </c>
      <c r="AS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проекта'!AS$1)</f>
        <v>0</v>
      </c>
      <c r="AT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проекта'!AT$1)</f>
        <v>0</v>
      </c>
      <c r="AU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проекта'!AU$1)</f>
        <v>0</v>
      </c>
      <c r="AV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проекта'!AV$1)</f>
        <v>0</v>
      </c>
      <c r="AW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проекта'!AW$1)</f>
        <v>0</v>
      </c>
      <c r="AX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проекта'!AX$1)</f>
        <v>0</v>
      </c>
      <c r="AY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проекта'!AY$1)</f>
        <v>0</v>
      </c>
      <c r="AZ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проекта'!AZ$1)</f>
        <v>0</v>
      </c>
      <c r="BA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проекта'!BA$1)</f>
        <v>0</v>
      </c>
      <c r="BB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проекта'!BB$1)</f>
        <v>0</v>
      </c>
      <c r="BC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проекта'!BC$1)</f>
        <v>0</v>
      </c>
      <c r="BD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проекта'!BD$1)</f>
        <v>0</v>
      </c>
      <c r="BE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проекта'!BE$1)</f>
        <v>0</v>
      </c>
      <c r="BF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проекта'!BF$1)</f>
        <v>0</v>
      </c>
      <c r="BG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проекта'!BG$1)</f>
        <v>0</v>
      </c>
      <c r="BH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проекта'!BH$1)</f>
        <v>0</v>
      </c>
      <c r="BI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проекта'!BI$1)</f>
        <v>0</v>
      </c>
      <c r="BJ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проекта'!BJ$1)</f>
        <v>0</v>
      </c>
      <c r="BK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проекта'!BK$1)</f>
        <v>0</v>
      </c>
      <c r="BL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проекта'!BL$1)</f>
        <v>0</v>
      </c>
      <c r="BM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проекта'!BM$1)</f>
        <v>0</v>
      </c>
      <c r="BN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проекта'!BN$1)</f>
        <v>0</v>
      </c>
      <c r="BO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проекта'!BO$1)</f>
        <v>0</v>
      </c>
      <c r="BP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проекта'!BP$1)</f>
        <v>0</v>
      </c>
      <c r="BQ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проекта'!BQ$1)</f>
        <v>0</v>
      </c>
      <c r="BR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проекта'!BR$1)</f>
        <v>0</v>
      </c>
      <c r="BS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проекта'!BS$1)</f>
        <v>0</v>
      </c>
      <c r="BT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проекта'!BT$1)</f>
        <v>0</v>
      </c>
      <c r="BU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проекта'!BU$1)</f>
        <v>0</v>
      </c>
      <c r="BV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проекта'!BV$1)</f>
        <v>0</v>
      </c>
      <c r="BW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проекта'!BW$1)</f>
        <v>0</v>
      </c>
      <c r="BX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проекта'!BX$1)</f>
        <v>0</v>
      </c>
      <c r="BY11" s="59">
        <f>SUMIFS(Таблица1[[Загрузка респлан]:[Загрузка респлан]],Таблица1[[Специалист]:[Специалист]],'шаблон расчета проекта'!$A11,Таблица1[[Месяц выполнения работ]:[Месяц выполнения работ]],'шаблон расчета проекта'!BY$1)</f>
        <v>0</v>
      </c>
      <c r="BZ11" s="60">
        <f t="shared" si="1"/>
        <v>0</v>
      </c>
      <c r="CA11" s="51"/>
    </row>
    <row r="12" spans="1:79" x14ac:dyDescent="0.3">
      <c r="A12" s="54"/>
      <c r="B12" s="55" t="str">
        <f>IF(ISERROR(SEARCH("ООО",IFERROR(_xlfn.XLOOKUP(A12,'расчеты_T&amp;M'!B:B,'расчеты_T&amp;M'!C:C),0))),IF(ISERROR(SEARCH("СМЗ",IFERROR(_xlfn.XLOOKUP(A12,'расчеты_T&amp;M'!B:B,'расчеты_T&amp;M'!C:C),0))),IF(ISERROR(SEARCH("ИП",IFERROR(_xlfn.XLOOKUP(A12,'расчеты_T&amp;M'!B:B,'расчеты_T&amp;M'!C:C),0))),IF(ISERROR(SEARCH("ГПХ",IFERROR(_xlfn.XLOOKUP(A12,'расчеты_T&amp;M'!B:B,'расчеты_T&amp;M'!C:C),0))),"","ГПХ"),"ИП"),"СМЗ"),"ЮЛ")</f>
        <v/>
      </c>
      <c r="C12" s="56">
        <f t="shared" si="0"/>
        <v>0</v>
      </c>
      <c r="D12" s="57">
        <f>IFERROR(_xlfn.XLOOKUP(A12,Таблица1[Специалист],Таблица1[Ставка НДС]),0)</f>
        <v>0</v>
      </c>
      <c r="E12" s="58">
        <f>IFERROR(_xlfn.XLOOKUP(A12,Таблица1[Специалист],Таблица1[Ставка Gross])/(1+IFERROR(_xlfn.XLOOKUP(A12,Таблица1[Специалист],Таблица1[Ставка НДС]),0)),0)</f>
        <v>0</v>
      </c>
      <c r="F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проекта'!F$1)</f>
        <v>0</v>
      </c>
      <c r="G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проекта'!G$1)</f>
        <v>0</v>
      </c>
      <c r="H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проекта'!H$1)</f>
        <v>0</v>
      </c>
      <c r="I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проекта'!I$1)</f>
        <v>0</v>
      </c>
      <c r="J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проекта'!J$1)</f>
        <v>0</v>
      </c>
      <c r="K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проекта'!K$1)</f>
        <v>0</v>
      </c>
      <c r="L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проекта'!L$1)</f>
        <v>0</v>
      </c>
      <c r="M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проекта'!M$1)</f>
        <v>0</v>
      </c>
      <c r="N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проекта'!N$1)</f>
        <v>0</v>
      </c>
      <c r="O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проекта'!O$1)</f>
        <v>0</v>
      </c>
      <c r="P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проекта'!P$1)</f>
        <v>0</v>
      </c>
      <c r="Q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проекта'!Q$1)</f>
        <v>0</v>
      </c>
      <c r="R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проекта'!R$1)</f>
        <v>0</v>
      </c>
      <c r="S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проекта'!S$1)</f>
        <v>0</v>
      </c>
      <c r="T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проекта'!T$1)</f>
        <v>0</v>
      </c>
      <c r="U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проекта'!U$1)</f>
        <v>0</v>
      </c>
      <c r="V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проекта'!V$1)</f>
        <v>0</v>
      </c>
      <c r="W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проекта'!W$1)</f>
        <v>0</v>
      </c>
      <c r="X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проекта'!X$1)</f>
        <v>0</v>
      </c>
      <c r="Y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проекта'!Y$1)</f>
        <v>0</v>
      </c>
      <c r="Z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проекта'!Z$1)</f>
        <v>0</v>
      </c>
      <c r="AA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проекта'!AA$1)</f>
        <v>0</v>
      </c>
      <c r="AB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проекта'!AB$1)</f>
        <v>0</v>
      </c>
      <c r="AC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проекта'!AC$1)</f>
        <v>0</v>
      </c>
      <c r="AD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проекта'!AD$1)</f>
        <v>0</v>
      </c>
      <c r="AE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проекта'!AE$1)</f>
        <v>0</v>
      </c>
      <c r="AF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проекта'!AF$1)</f>
        <v>0</v>
      </c>
      <c r="AG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проекта'!AG$1)</f>
        <v>0</v>
      </c>
      <c r="AH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проекта'!AH$1)</f>
        <v>0</v>
      </c>
      <c r="AI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проекта'!AI$1)</f>
        <v>0</v>
      </c>
      <c r="AJ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проекта'!AJ$1)</f>
        <v>0</v>
      </c>
      <c r="AK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проекта'!AK$1)</f>
        <v>0</v>
      </c>
      <c r="AL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проекта'!AL$1)</f>
        <v>0</v>
      </c>
      <c r="AM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проекта'!AM$1)</f>
        <v>0</v>
      </c>
      <c r="AN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проекта'!AN$1)</f>
        <v>0</v>
      </c>
      <c r="AO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проекта'!AO$1)</f>
        <v>0</v>
      </c>
      <c r="AP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проекта'!AP$1)</f>
        <v>0</v>
      </c>
      <c r="AQ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проекта'!AQ$1)</f>
        <v>0</v>
      </c>
      <c r="AR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проекта'!AR$1)</f>
        <v>0</v>
      </c>
      <c r="AS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проекта'!AS$1)</f>
        <v>0</v>
      </c>
      <c r="AT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проекта'!AT$1)</f>
        <v>0</v>
      </c>
      <c r="AU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проекта'!AU$1)</f>
        <v>0</v>
      </c>
      <c r="AV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проекта'!AV$1)</f>
        <v>0</v>
      </c>
      <c r="AW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проекта'!AW$1)</f>
        <v>0</v>
      </c>
      <c r="AX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проекта'!AX$1)</f>
        <v>0</v>
      </c>
      <c r="AY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проекта'!AY$1)</f>
        <v>0</v>
      </c>
      <c r="AZ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проекта'!AZ$1)</f>
        <v>0</v>
      </c>
      <c r="BA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проекта'!BA$1)</f>
        <v>0</v>
      </c>
      <c r="BB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проекта'!BB$1)</f>
        <v>0</v>
      </c>
      <c r="BC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проекта'!BC$1)</f>
        <v>0</v>
      </c>
      <c r="BD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проекта'!BD$1)</f>
        <v>0</v>
      </c>
      <c r="BE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проекта'!BE$1)</f>
        <v>0</v>
      </c>
      <c r="BF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проекта'!BF$1)</f>
        <v>0</v>
      </c>
      <c r="BG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проекта'!BG$1)</f>
        <v>0</v>
      </c>
      <c r="BH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проекта'!BH$1)</f>
        <v>0</v>
      </c>
      <c r="BI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проекта'!BI$1)</f>
        <v>0</v>
      </c>
      <c r="BJ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проекта'!BJ$1)</f>
        <v>0</v>
      </c>
      <c r="BK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проекта'!BK$1)</f>
        <v>0</v>
      </c>
      <c r="BL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проекта'!BL$1)</f>
        <v>0</v>
      </c>
      <c r="BM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проекта'!BM$1)</f>
        <v>0</v>
      </c>
      <c r="BN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проекта'!BN$1)</f>
        <v>0</v>
      </c>
      <c r="BO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проекта'!BO$1)</f>
        <v>0</v>
      </c>
      <c r="BP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проекта'!BP$1)</f>
        <v>0</v>
      </c>
      <c r="BQ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проекта'!BQ$1)</f>
        <v>0</v>
      </c>
      <c r="BR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проекта'!BR$1)</f>
        <v>0</v>
      </c>
      <c r="BS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проекта'!BS$1)</f>
        <v>0</v>
      </c>
      <c r="BT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проекта'!BT$1)</f>
        <v>0</v>
      </c>
      <c r="BU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проекта'!BU$1)</f>
        <v>0</v>
      </c>
      <c r="BV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проекта'!BV$1)</f>
        <v>0</v>
      </c>
      <c r="BW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проекта'!BW$1)</f>
        <v>0</v>
      </c>
      <c r="BX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проекта'!BX$1)</f>
        <v>0</v>
      </c>
      <c r="BY12" s="59">
        <f>SUMIFS(Таблица1[[Загрузка респлан]:[Загрузка респлан]],Таблица1[[Специалист]:[Специалист]],'шаблон расчета проекта'!$A12,Таблица1[[Месяц выполнения работ]:[Месяц выполнения работ]],'шаблон расчета проекта'!BY$1)</f>
        <v>0</v>
      </c>
      <c r="BZ12" s="60">
        <f t="shared" si="1"/>
        <v>0</v>
      </c>
      <c r="CA12" s="51"/>
    </row>
    <row r="13" spans="1:79" x14ac:dyDescent="0.3">
      <c r="A13" s="54"/>
      <c r="B13" s="55" t="str">
        <f>IF(ISERROR(SEARCH("ООО",IFERROR(_xlfn.XLOOKUP(A13,'расчеты_T&amp;M'!B:B,'расчеты_T&amp;M'!C:C),0))),IF(ISERROR(SEARCH("СМЗ",IFERROR(_xlfn.XLOOKUP(A13,'расчеты_T&amp;M'!B:B,'расчеты_T&amp;M'!C:C),0))),IF(ISERROR(SEARCH("ИП",IFERROR(_xlfn.XLOOKUP(A13,'расчеты_T&amp;M'!B:B,'расчеты_T&amp;M'!C:C),0))),IF(ISERROR(SEARCH("ГПХ",IFERROR(_xlfn.XLOOKUP(A13,'расчеты_T&amp;M'!B:B,'расчеты_T&amp;M'!C:C),0))),"","ГПХ"),"ИП"),"СМЗ"),"ЮЛ")</f>
        <v/>
      </c>
      <c r="C13" s="56">
        <f t="shared" si="0"/>
        <v>0</v>
      </c>
      <c r="D13" s="57">
        <f>IFERROR(_xlfn.XLOOKUP(A13,Таблица1[Специалист],Таблица1[Ставка НДС]),0)</f>
        <v>0</v>
      </c>
      <c r="E13" s="58">
        <f>IFERROR(_xlfn.XLOOKUP(A13,Таблица1[Специалист],Таблица1[Ставка Gross])/(1+IFERROR(_xlfn.XLOOKUP(A13,Таблица1[Специалист],Таблица1[Ставка НДС]),0)),0)</f>
        <v>0</v>
      </c>
      <c r="F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проекта'!F$1)</f>
        <v>0</v>
      </c>
      <c r="G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проекта'!G$1)</f>
        <v>0</v>
      </c>
      <c r="H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проекта'!H$1)</f>
        <v>0</v>
      </c>
      <c r="I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проекта'!I$1)</f>
        <v>0</v>
      </c>
      <c r="J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проекта'!J$1)</f>
        <v>0</v>
      </c>
      <c r="K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проекта'!K$1)</f>
        <v>0</v>
      </c>
      <c r="L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проекта'!L$1)</f>
        <v>0</v>
      </c>
      <c r="M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проекта'!M$1)</f>
        <v>0</v>
      </c>
      <c r="N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проекта'!N$1)</f>
        <v>0</v>
      </c>
      <c r="O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проекта'!O$1)</f>
        <v>0</v>
      </c>
      <c r="P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проекта'!P$1)</f>
        <v>0</v>
      </c>
      <c r="Q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проекта'!Q$1)</f>
        <v>0</v>
      </c>
      <c r="R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проекта'!R$1)</f>
        <v>0</v>
      </c>
      <c r="S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проекта'!S$1)</f>
        <v>0</v>
      </c>
      <c r="T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проекта'!T$1)</f>
        <v>0</v>
      </c>
      <c r="U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проекта'!U$1)</f>
        <v>0</v>
      </c>
      <c r="V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проекта'!V$1)</f>
        <v>0</v>
      </c>
      <c r="W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проекта'!W$1)</f>
        <v>0</v>
      </c>
      <c r="X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проекта'!X$1)</f>
        <v>0</v>
      </c>
      <c r="Y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проекта'!Y$1)</f>
        <v>0</v>
      </c>
      <c r="Z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проекта'!Z$1)</f>
        <v>0</v>
      </c>
      <c r="AA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проекта'!AA$1)</f>
        <v>0</v>
      </c>
      <c r="AB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проекта'!AB$1)</f>
        <v>0</v>
      </c>
      <c r="AC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проекта'!AC$1)</f>
        <v>0</v>
      </c>
      <c r="AD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проекта'!AD$1)</f>
        <v>0</v>
      </c>
      <c r="AE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проекта'!AE$1)</f>
        <v>0</v>
      </c>
      <c r="AF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проекта'!AF$1)</f>
        <v>0</v>
      </c>
      <c r="AG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проекта'!AG$1)</f>
        <v>0</v>
      </c>
      <c r="AH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проекта'!AH$1)</f>
        <v>0</v>
      </c>
      <c r="AI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проекта'!AI$1)</f>
        <v>0</v>
      </c>
      <c r="AJ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проекта'!AJ$1)</f>
        <v>0</v>
      </c>
      <c r="AK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проекта'!AK$1)</f>
        <v>0</v>
      </c>
      <c r="AL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проекта'!AL$1)</f>
        <v>0</v>
      </c>
      <c r="AM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проекта'!AM$1)</f>
        <v>0</v>
      </c>
      <c r="AN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проекта'!AN$1)</f>
        <v>0</v>
      </c>
      <c r="AO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проекта'!AO$1)</f>
        <v>0</v>
      </c>
      <c r="AP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проекта'!AP$1)</f>
        <v>0</v>
      </c>
      <c r="AQ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проекта'!AQ$1)</f>
        <v>0</v>
      </c>
      <c r="AR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проекта'!AR$1)</f>
        <v>0</v>
      </c>
      <c r="AS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проекта'!AS$1)</f>
        <v>0</v>
      </c>
      <c r="AT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проекта'!AT$1)</f>
        <v>0</v>
      </c>
      <c r="AU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проекта'!AU$1)</f>
        <v>0</v>
      </c>
      <c r="AV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проекта'!AV$1)</f>
        <v>0</v>
      </c>
      <c r="AW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проекта'!AW$1)</f>
        <v>0</v>
      </c>
      <c r="AX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проекта'!AX$1)</f>
        <v>0</v>
      </c>
      <c r="AY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проекта'!AY$1)</f>
        <v>0</v>
      </c>
      <c r="AZ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проекта'!AZ$1)</f>
        <v>0</v>
      </c>
      <c r="BA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проекта'!BA$1)</f>
        <v>0</v>
      </c>
      <c r="BB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проекта'!BB$1)</f>
        <v>0</v>
      </c>
      <c r="BC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проекта'!BC$1)</f>
        <v>0</v>
      </c>
      <c r="BD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проекта'!BD$1)</f>
        <v>0</v>
      </c>
      <c r="BE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проекта'!BE$1)</f>
        <v>0</v>
      </c>
      <c r="BF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проекта'!BF$1)</f>
        <v>0</v>
      </c>
      <c r="BG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проекта'!BG$1)</f>
        <v>0</v>
      </c>
      <c r="BH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проекта'!BH$1)</f>
        <v>0</v>
      </c>
      <c r="BI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проекта'!BI$1)</f>
        <v>0</v>
      </c>
      <c r="BJ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проекта'!BJ$1)</f>
        <v>0</v>
      </c>
      <c r="BK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проекта'!BK$1)</f>
        <v>0</v>
      </c>
      <c r="BL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проекта'!BL$1)</f>
        <v>0</v>
      </c>
      <c r="BM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проекта'!BM$1)</f>
        <v>0</v>
      </c>
      <c r="BN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проекта'!BN$1)</f>
        <v>0</v>
      </c>
      <c r="BO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проекта'!BO$1)</f>
        <v>0</v>
      </c>
      <c r="BP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проекта'!BP$1)</f>
        <v>0</v>
      </c>
      <c r="BQ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проекта'!BQ$1)</f>
        <v>0</v>
      </c>
      <c r="BR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проекта'!BR$1)</f>
        <v>0</v>
      </c>
      <c r="BS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проекта'!BS$1)</f>
        <v>0</v>
      </c>
      <c r="BT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проекта'!BT$1)</f>
        <v>0</v>
      </c>
      <c r="BU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проекта'!BU$1)</f>
        <v>0</v>
      </c>
      <c r="BV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проекта'!BV$1)</f>
        <v>0</v>
      </c>
      <c r="BW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проекта'!BW$1)</f>
        <v>0</v>
      </c>
      <c r="BX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проекта'!BX$1)</f>
        <v>0</v>
      </c>
      <c r="BY13" s="59">
        <f>SUMIFS(Таблица1[[Загрузка респлан]:[Загрузка респлан]],Таблица1[[Специалист]:[Специалист]],'шаблон расчета проекта'!$A13,Таблица1[[Месяц выполнения работ]:[Месяц выполнения работ]],'шаблон расчета проекта'!BY$1)</f>
        <v>0</v>
      </c>
      <c r="BZ13" s="60">
        <f t="shared" si="1"/>
        <v>0</v>
      </c>
      <c r="CA13" s="51"/>
    </row>
    <row r="14" spans="1:79" x14ac:dyDescent="0.3">
      <c r="A14" s="54"/>
      <c r="B14" s="55" t="str">
        <f>IF(ISERROR(SEARCH("ООО",IFERROR(_xlfn.XLOOKUP(A14,'расчеты_T&amp;M'!B:B,'расчеты_T&amp;M'!C:C),0))),IF(ISERROR(SEARCH("СМЗ",IFERROR(_xlfn.XLOOKUP(A14,'расчеты_T&amp;M'!B:B,'расчеты_T&amp;M'!C:C),0))),IF(ISERROR(SEARCH("ИП",IFERROR(_xlfn.XLOOKUP(A14,'расчеты_T&amp;M'!B:B,'расчеты_T&amp;M'!C:C),0))),IF(ISERROR(SEARCH("ГПХ",IFERROR(_xlfn.XLOOKUP(A14,'расчеты_T&amp;M'!B:B,'расчеты_T&amp;M'!C:C),0))),"","ГПХ"),"ИП"),"СМЗ"),"ЮЛ")</f>
        <v/>
      </c>
      <c r="C14" s="56">
        <f t="shared" si="0"/>
        <v>0</v>
      </c>
      <c r="D14" s="57">
        <f>IFERROR(_xlfn.XLOOKUP(A14,Таблица1[Специалист],Таблица1[Ставка НДС]),0)</f>
        <v>0</v>
      </c>
      <c r="E14" s="58">
        <f>IFERROR(_xlfn.XLOOKUP(A14,Таблица1[Специалист],Таблица1[Ставка Gross])/(1+IFERROR(_xlfn.XLOOKUP(A14,Таблица1[Специалист],Таблица1[Ставка НДС]),0)),0)</f>
        <v>0</v>
      </c>
      <c r="F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проекта'!F$1)</f>
        <v>0</v>
      </c>
      <c r="G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проекта'!G$1)</f>
        <v>0</v>
      </c>
      <c r="H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проекта'!H$1)</f>
        <v>0</v>
      </c>
      <c r="I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проекта'!I$1)</f>
        <v>0</v>
      </c>
      <c r="J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проекта'!J$1)</f>
        <v>0</v>
      </c>
      <c r="K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проекта'!K$1)</f>
        <v>0</v>
      </c>
      <c r="L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проекта'!L$1)</f>
        <v>0</v>
      </c>
      <c r="M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проекта'!M$1)</f>
        <v>0</v>
      </c>
      <c r="N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проекта'!N$1)</f>
        <v>0</v>
      </c>
      <c r="O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проекта'!O$1)</f>
        <v>0</v>
      </c>
      <c r="P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проекта'!P$1)</f>
        <v>0</v>
      </c>
      <c r="Q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проекта'!Q$1)</f>
        <v>0</v>
      </c>
      <c r="R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проекта'!R$1)</f>
        <v>0</v>
      </c>
      <c r="S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проекта'!S$1)</f>
        <v>0</v>
      </c>
      <c r="T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проекта'!T$1)</f>
        <v>0</v>
      </c>
      <c r="U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проекта'!U$1)</f>
        <v>0</v>
      </c>
      <c r="V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проекта'!V$1)</f>
        <v>0</v>
      </c>
      <c r="W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проекта'!W$1)</f>
        <v>0</v>
      </c>
      <c r="X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проекта'!X$1)</f>
        <v>0</v>
      </c>
      <c r="Y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проекта'!Y$1)</f>
        <v>0</v>
      </c>
      <c r="Z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проекта'!Z$1)</f>
        <v>0</v>
      </c>
      <c r="AA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проекта'!AA$1)</f>
        <v>0</v>
      </c>
      <c r="AB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проекта'!AB$1)</f>
        <v>0</v>
      </c>
      <c r="AC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проекта'!AC$1)</f>
        <v>0</v>
      </c>
      <c r="AD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проекта'!AD$1)</f>
        <v>0</v>
      </c>
      <c r="AE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проекта'!AE$1)</f>
        <v>0</v>
      </c>
      <c r="AF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проекта'!AF$1)</f>
        <v>0</v>
      </c>
      <c r="AG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проекта'!AG$1)</f>
        <v>0</v>
      </c>
      <c r="AH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проекта'!AH$1)</f>
        <v>0</v>
      </c>
      <c r="AI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проекта'!AI$1)</f>
        <v>0</v>
      </c>
      <c r="AJ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проекта'!AJ$1)</f>
        <v>0</v>
      </c>
      <c r="AK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проекта'!AK$1)</f>
        <v>0</v>
      </c>
      <c r="AL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проекта'!AL$1)</f>
        <v>0</v>
      </c>
      <c r="AM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проекта'!AM$1)</f>
        <v>0</v>
      </c>
      <c r="AN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проекта'!AN$1)</f>
        <v>0</v>
      </c>
      <c r="AO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проекта'!AO$1)</f>
        <v>0</v>
      </c>
      <c r="AP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проекта'!AP$1)</f>
        <v>0</v>
      </c>
      <c r="AQ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проекта'!AQ$1)</f>
        <v>0</v>
      </c>
      <c r="AR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проекта'!AR$1)</f>
        <v>0</v>
      </c>
      <c r="AS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проекта'!AS$1)</f>
        <v>0</v>
      </c>
      <c r="AT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проекта'!AT$1)</f>
        <v>0</v>
      </c>
      <c r="AU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проекта'!AU$1)</f>
        <v>0</v>
      </c>
      <c r="AV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проекта'!AV$1)</f>
        <v>0</v>
      </c>
      <c r="AW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проекта'!AW$1)</f>
        <v>0</v>
      </c>
      <c r="AX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проекта'!AX$1)</f>
        <v>0</v>
      </c>
      <c r="AY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проекта'!AY$1)</f>
        <v>0</v>
      </c>
      <c r="AZ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проекта'!AZ$1)</f>
        <v>0</v>
      </c>
      <c r="BA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проекта'!BA$1)</f>
        <v>0</v>
      </c>
      <c r="BB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проекта'!BB$1)</f>
        <v>0</v>
      </c>
      <c r="BC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проекта'!BC$1)</f>
        <v>0</v>
      </c>
      <c r="BD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проекта'!BD$1)</f>
        <v>0</v>
      </c>
      <c r="BE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проекта'!BE$1)</f>
        <v>0</v>
      </c>
      <c r="BF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проекта'!BF$1)</f>
        <v>0</v>
      </c>
      <c r="BG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проекта'!BG$1)</f>
        <v>0</v>
      </c>
      <c r="BH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проекта'!BH$1)</f>
        <v>0</v>
      </c>
      <c r="BI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проекта'!BI$1)</f>
        <v>0</v>
      </c>
      <c r="BJ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проекта'!BJ$1)</f>
        <v>0</v>
      </c>
      <c r="BK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проекта'!BK$1)</f>
        <v>0</v>
      </c>
      <c r="BL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проекта'!BL$1)</f>
        <v>0</v>
      </c>
      <c r="BM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проекта'!BM$1)</f>
        <v>0</v>
      </c>
      <c r="BN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проекта'!BN$1)</f>
        <v>0</v>
      </c>
      <c r="BO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проекта'!BO$1)</f>
        <v>0</v>
      </c>
      <c r="BP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проекта'!BP$1)</f>
        <v>0</v>
      </c>
      <c r="BQ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проекта'!BQ$1)</f>
        <v>0</v>
      </c>
      <c r="BR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проекта'!BR$1)</f>
        <v>0</v>
      </c>
      <c r="BS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проекта'!BS$1)</f>
        <v>0</v>
      </c>
      <c r="BT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проекта'!BT$1)</f>
        <v>0</v>
      </c>
      <c r="BU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проекта'!BU$1)</f>
        <v>0</v>
      </c>
      <c r="BV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проекта'!BV$1)</f>
        <v>0</v>
      </c>
      <c r="BW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проекта'!BW$1)</f>
        <v>0</v>
      </c>
      <c r="BX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проекта'!BX$1)</f>
        <v>0</v>
      </c>
      <c r="BY14" s="59">
        <f>SUMIFS(Таблица1[[Загрузка респлан]:[Загрузка респлан]],Таблица1[[Специалист]:[Специалист]],'шаблон расчета проекта'!$A14,Таблица1[[Месяц выполнения работ]:[Месяц выполнения работ]],'шаблон расчета проекта'!BY$1)</f>
        <v>0</v>
      </c>
      <c r="BZ14" s="60">
        <f t="shared" si="1"/>
        <v>0</v>
      </c>
      <c r="CA14" s="51"/>
    </row>
    <row r="15" spans="1:79" x14ac:dyDescent="0.3">
      <c r="A15" s="54"/>
      <c r="B15" s="55" t="str">
        <f>IF(ISERROR(SEARCH("ООО",IFERROR(_xlfn.XLOOKUP(A15,'расчеты_T&amp;M'!B:B,'расчеты_T&amp;M'!C:C),0))),IF(ISERROR(SEARCH("СМЗ",IFERROR(_xlfn.XLOOKUP(A15,'расчеты_T&amp;M'!B:B,'расчеты_T&amp;M'!C:C),0))),IF(ISERROR(SEARCH("ИП",IFERROR(_xlfn.XLOOKUP(A15,'расчеты_T&amp;M'!B:B,'расчеты_T&amp;M'!C:C),0))),IF(ISERROR(SEARCH("ГПХ",IFERROR(_xlfn.XLOOKUP(A15,'расчеты_T&amp;M'!B:B,'расчеты_T&amp;M'!C:C),0))),"","ГПХ"),"ИП"),"СМЗ"),"ЮЛ")</f>
        <v/>
      </c>
      <c r="C15" s="56">
        <f t="shared" si="0"/>
        <v>0</v>
      </c>
      <c r="D15" s="57">
        <f>IFERROR(_xlfn.XLOOKUP(A15,Таблица1[Специалист],Таблица1[Ставка НДС]),0)</f>
        <v>0</v>
      </c>
      <c r="E15" s="58">
        <f>IFERROR(_xlfn.XLOOKUP(A15,Таблица1[Специалист],Таблица1[Ставка Gross])/(1+IFERROR(_xlfn.XLOOKUP(A15,Таблица1[Специалист],Таблица1[Ставка НДС]),0)),0)</f>
        <v>0</v>
      </c>
      <c r="F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проекта'!F$1)</f>
        <v>0</v>
      </c>
      <c r="G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проекта'!G$1)</f>
        <v>0</v>
      </c>
      <c r="H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проекта'!H$1)</f>
        <v>0</v>
      </c>
      <c r="I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проекта'!I$1)</f>
        <v>0</v>
      </c>
      <c r="J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проекта'!J$1)</f>
        <v>0</v>
      </c>
      <c r="K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проекта'!K$1)</f>
        <v>0</v>
      </c>
      <c r="L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проекта'!L$1)</f>
        <v>0</v>
      </c>
      <c r="M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проекта'!M$1)</f>
        <v>0</v>
      </c>
      <c r="N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проекта'!N$1)</f>
        <v>0</v>
      </c>
      <c r="O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проекта'!O$1)</f>
        <v>0</v>
      </c>
      <c r="P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проекта'!P$1)</f>
        <v>0</v>
      </c>
      <c r="Q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проекта'!Q$1)</f>
        <v>0</v>
      </c>
      <c r="R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проекта'!R$1)</f>
        <v>0</v>
      </c>
      <c r="S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проекта'!S$1)</f>
        <v>0</v>
      </c>
      <c r="T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проекта'!T$1)</f>
        <v>0</v>
      </c>
      <c r="U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проекта'!U$1)</f>
        <v>0</v>
      </c>
      <c r="V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проекта'!V$1)</f>
        <v>0</v>
      </c>
      <c r="W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проекта'!W$1)</f>
        <v>0</v>
      </c>
      <c r="X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проекта'!X$1)</f>
        <v>0</v>
      </c>
      <c r="Y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проекта'!Y$1)</f>
        <v>0</v>
      </c>
      <c r="Z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проекта'!Z$1)</f>
        <v>0</v>
      </c>
      <c r="AA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проекта'!AA$1)</f>
        <v>0</v>
      </c>
      <c r="AB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проекта'!AB$1)</f>
        <v>0</v>
      </c>
      <c r="AC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проекта'!AC$1)</f>
        <v>0</v>
      </c>
      <c r="AD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проекта'!AD$1)</f>
        <v>0</v>
      </c>
      <c r="AE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проекта'!AE$1)</f>
        <v>0</v>
      </c>
      <c r="AF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проекта'!AF$1)</f>
        <v>0</v>
      </c>
      <c r="AG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проекта'!AG$1)</f>
        <v>0</v>
      </c>
      <c r="AH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проекта'!AH$1)</f>
        <v>0</v>
      </c>
      <c r="AI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проекта'!AI$1)</f>
        <v>0</v>
      </c>
      <c r="AJ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проекта'!AJ$1)</f>
        <v>0</v>
      </c>
      <c r="AK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проекта'!AK$1)</f>
        <v>0</v>
      </c>
      <c r="AL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проекта'!AL$1)</f>
        <v>0</v>
      </c>
      <c r="AM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проекта'!AM$1)</f>
        <v>0</v>
      </c>
      <c r="AN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проекта'!AN$1)</f>
        <v>0</v>
      </c>
      <c r="AO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проекта'!AO$1)</f>
        <v>0</v>
      </c>
      <c r="AP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проекта'!AP$1)</f>
        <v>0</v>
      </c>
      <c r="AQ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проекта'!AQ$1)</f>
        <v>0</v>
      </c>
      <c r="AR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проекта'!AR$1)</f>
        <v>0</v>
      </c>
      <c r="AS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проекта'!AS$1)</f>
        <v>0</v>
      </c>
      <c r="AT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проекта'!AT$1)</f>
        <v>0</v>
      </c>
      <c r="AU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проекта'!AU$1)</f>
        <v>0</v>
      </c>
      <c r="AV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проекта'!AV$1)</f>
        <v>0</v>
      </c>
      <c r="AW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проекта'!AW$1)</f>
        <v>0</v>
      </c>
      <c r="AX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проекта'!AX$1)</f>
        <v>0</v>
      </c>
      <c r="AY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проекта'!AY$1)</f>
        <v>0</v>
      </c>
      <c r="AZ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проекта'!AZ$1)</f>
        <v>0</v>
      </c>
      <c r="BA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проекта'!BA$1)</f>
        <v>0</v>
      </c>
      <c r="BB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проекта'!BB$1)</f>
        <v>0</v>
      </c>
      <c r="BC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проекта'!BC$1)</f>
        <v>0</v>
      </c>
      <c r="BD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проекта'!BD$1)</f>
        <v>0</v>
      </c>
      <c r="BE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проекта'!BE$1)</f>
        <v>0</v>
      </c>
      <c r="BF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проекта'!BF$1)</f>
        <v>0</v>
      </c>
      <c r="BG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проекта'!BG$1)</f>
        <v>0</v>
      </c>
      <c r="BH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проекта'!BH$1)</f>
        <v>0</v>
      </c>
      <c r="BI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проекта'!BI$1)</f>
        <v>0</v>
      </c>
      <c r="BJ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проекта'!BJ$1)</f>
        <v>0</v>
      </c>
      <c r="BK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проекта'!BK$1)</f>
        <v>0</v>
      </c>
      <c r="BL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проекта'!BL$1)</f>
        <v>0</v>
      </c>
      <c r="BM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проекта'!BM$1)</f>
        <v>0</v>
      </c>
      <c r="BN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проекта'!BN$1)</f>
        <v>0</v>
      </c>
      <c r="BO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проекта'!BO$1)</f>
        <v>0</v>
      </c>
      <c r="BP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проекта'!BP$1)</f>
        <v>0</v>
      </c>
      <c r="BQ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проекта'!BQ$1)</f>
        <v>0</v>
      </c>
      <c r="BR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проекта'!BR$1)</f>
        <v>0</v>
      </c>
      <c r="BS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проекта'!BS$1)</f>
        <v>0</v>
      </c>
      <c r="BT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проекта'!BT$1)</f>
        <v>0</v>
      </c>
      <c r="BU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проекта'!BU$1)</f>
        <v>0</v>
      </c>
      <c r="BV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проекта'!BV$1)</f>
        <v>0</v>
      </c>
      <c r="BW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проекта'!BW$1)</f>
        <v>0</v>
      </c>
      <c r="BX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проекта'!BX$1)</f>
        <v>0</v>
      </c>
      <c r="BY15" s="59">
        <f>SUMIFS(Таблица1[[Загрузка респлан]:[Загрузка респлан]],Таблица1[[Специалист]:[Специалист]],'шаблон расчета проекта'!$A15,Таблица1[[Месяц выполнения работ]:[Месяц выполнения работ]],'шаблон расчета проекта'!BY$1)</f>
        <v>0</v>
      </c>
      <c r="BZ15" s="60">
        <f t="shared" si="1"/>
        <v>0</v>
      </c>
      <c r="CA15" s="51"/>
    </row>
    <row r="16" spans="1:79" x14ac:dyDescent="0.3">
      <c r="A16" s="54"/>
      <c r="B16" s="55" t="str">
        <f>IF(ISERROR(SEARCH("ООО",IFERROR(_xlfn.XLOOKUP(A16,'расчеты_T&amp;M'!B:B,'расчеты_T&amp;M'!C:C),0))),IF(ISERROR(SEARCH("СМЗ",IFERROR(_xlfn.XLOOKUP(A16,'расчеты_T&amp;M'!B:B,'расчеты_T&amp;M'!C:C),0))),IF(ISERROR(SEARCH("ИП",IFERROR(_xlfn.XLOOKUP(A16,'расчеты_T&amp;M'!B:B,'расчеты_T&amp;M'!C:C),0))),IF(ISERROR(SEARCH("ГПХ",IFERROR(_xlfn.XLOOKUP(A16,'расчеты_T&amp;M'!B:B,'расчеты_T&amp;M'!C:C),0))),"","ГПХ"),"ИП"),"СМЗ"),"ЮЛ")</f>
        <v/>
      </c>
      <c r="C16" s="56">
        <f t="shared" si="0"/>
        <v>0</v>
      </c>
      <c r="D16" s="57">
        <f>IFERROR(_xlfn.XLOOKUP(A16,Таблица1[Специалист],Таблица1[Ставка НДС]),0)</f>
        <v>0</v>
      </c>
      <c r="E16" s="58">
        <f>IFERROR(_xlfn.XLOOKUP(A16,Таблица1[Специалист],Таблица1[Ставка Gross])/(1+IFERROR(_xlfn.XLOOKUP(A16,Таблица1[Специалист],Таблица1[Ставка НДС]),0)),0)</f>
        <v>0</v>
      </c>
      <c r="F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проекта'!F$1)</f>
        <v>0</v>
      </c>
      <c r="G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проекта'!G$1)</f>
        <v>0</v>
      </c>
      <c r="H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проекта'!H$1)</f>
        <v>0</v>
      </c>
      <c r="I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проекта'!I$1)</f>
        <v>0</v>
      </c>
      <c r="J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проекта'!J$1)</f>
        <v>0</v>
      </c>
      <c r="K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проекта'!K$1)</f>
        <v>0</v>
      </c>
      <c r="L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проекта'!L$1)</f>
        <v>0</v>
      </c>
      <c r="M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проекта'!M$1)</f>
        <v>0</v>
      </c>
      <c r="N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проекта'!N$1)</f>
        <v>0</v>
      </c>
      <c r="O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проекта'!O$1)</f>
        <v>0</v>
      </c>
      <c r="P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проекта'!P$1)</f>
        <v>0</v>
      </c>
      <c r="Q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проекта'!Q$1)</f>
        <v>0</v>
      </c>
      <c r="R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проекта'!R$1)</f>
        <v>0</v>
      </c>
      <c r="S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проекта'!S$1)</f>
        <v>0</v>
      </c>
      <c r="T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проекта'!T$1)</f>
        <v>0</v>
      </c>
      <c r="U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проекта'!U$1)</f>
        <v>0</v>
      </c>
      <c r="V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проекта'!V$1)</f>
        <v>0</v>
      </c>
      <c r="W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проекта'!W$1)</f>
        <v>0</v>
      </c>
      <c r="X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проекта'!X$1)</f>
        <v>0</v>
      </c>
      <c r="Y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проекта'!Y$1)</f>
        <v>0</v>
      </c>
      <c r="Z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проекта'!Z$1)</f>
        <v>0</v>
      </c>
      <c r="AA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проекта'!AA$1)</f>
        <v>0</v>
      </c>
      <c r="AB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проекта'!AB$1)</f>
        <v>0</v>
      </c>
      <c r="AC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проекта'!AC$1)</f>
        <v>0</v>
      </c>
      <c r="AD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проекта'!AD$1)</f>
        <v>0</v>
      </c>
      <c r="AE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проекта'!AE$1)</f>
        <v>0</v>
      </c>
      <c r="AF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проекта'!AF$1)</f>
        <v>0</v>
      </c>
      <c r="AG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проекта'!AG$1)</f>
        <v>0</v>
      </c>
      <c r="AH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проекта'!AH$1)</f>
        <v>0</v>
      </c>
      <c r="AI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проекта'!AI$1)</f>
        <v>0</v>
      </c>
      <c r="AJ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проекта'!AJ$1)</f>
        <v>0</v>
      </c>
      <c r="AK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проекта'!AK$1)</f>
        <v>0</v>
      </c>
      <c r="AL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проекта'!AL$1)</f>
        <v>0</v>
      </c>
      <c r="AM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проекта'!AM$1)</f>
        <v>0</v>
      </c>
      <c r="AN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проекта'!AN$1)</f>
        <v>0</v>
      </c>
      <c r="AO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проекта'!AO$1)</f>
        <v>0</v>
      </c>
      <c r="AP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проекта'!AP$1)</f>
        <v>0</v>
      </c>
      <c r="AQ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проекта'!AQ$1)</f>
        <v>0</v>
      </c>
      <c r="AR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проекта'!AR$1)</f>
        <v>0</v>
      </c>
      <c r="AS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проекта'!AS$1)</f>
        <v>0</v>
      </c>
      <c r="AT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проекта'!AT$1)</f>
        <v>0</v>
      </c>
      <c r="AU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проекта'!AU$1)</f>
        <v>0</v>
      </c>
      <c r="AV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проекта'!AV$1)</f>
        <v>0</v>
      </c>
      <c r="AW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проекта'!AW$1)</f>
        <v>0</v>
      </c>
      <c r="AX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проекта'!AX$1)</f>
        <v>0</v>
      </c>
      <c r="AY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проекта'!AY$1)</f>
        <v>0</v>
      </c>
      <c r="AZ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проекта'!AZ$1)</f>
        <v>0</v>
      </c>
      <c r="BA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проекта'!BA$1)</f>
        <v>0</v>
      </c>
      <c r="BB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проекта'!BB$1)</f>
        <v>0</v>
      </c>
      <c r="BC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проекта'!BC$1)</f>
        <v>0</v>
      </c>
      <c r="BD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проекта'!BD$1)</f>
        <v>0</v>
      </c>
      <c r="BE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проекта'!BE$1)</f>
        <v>0</v>
      </c>
      <c r="BF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проекта'!BF$1)</f>
        <v>0</v>
      </c>
      <c r="BG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проекта'!BG$1)</f>
        <v>0</v>
      </c>
      <c r="BH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проекта'!BH$1)</f>
        <v>0</v>
      </c>
      <c r="BI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проекта'!BI$1)</f>
        <v>0</v>
      </c>
      <c r="BJ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проекта'!BJ$1)</f>
        <v>0</v>
      </c>
      <c r="BK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проекта'!BK$1)</f>
        <v>0</v>
      </c>
      <c r="BL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проекта'!BL$1)</f>
        <v>0</v>
      </c>
      <c r="BM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проекта'!BM$1)</f>
        <v>0</v>
      </c>
      <c r="BN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проекта'!BN$1)</f>
        <v>0</v>
      </c>
      <c r="BO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проекта'!BO$1)</f>
        <v>0</v>
      </c>
      <c r="BP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проекта'!BP$1)</f>
        <v>0</v>
      </c>
      <c r="BQ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проекта'!BQ$1)</f>
        <v>0</v>
      </c>
      <c r="BR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проекта'!BR$1)</f>
        <v>0</v>
      </c>
      <c r="BS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проекта'!BS$1)</f>
        <v>0</v>
      </c>
      <c r="BT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проекта'!BT$1)</f>
        <v>0</v>
      </c>
      <c r="BU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проекта'!BU$1)</f>
        <v>0</v>
      </c>
      <c r="BV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проекта'!BV$1)</f>
        <v>0</v>
      </c>
      <c r="BW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проекта'!BW$1)</f>
        <v>0</v>
      </c>
      <c r="BX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проекта'!BX$1)</f>
        <v>0</v>
      </c>
      <c r="BY16" s="59">
        <f>SUMIFS(Таблица1[[Загрузка респлан]:[Загрузка респлан]],Таблица1[[Специалист]:[Специалист]],'шаблон расчета проекта'!$A16,Таблица1[[Месяц выполнения работ]:[Месяц выполнения работ]],'шаблон расчета проекта'!BY$1)</f>
        <v>0</v>
      </c>
      <c r="BZ16" s="60">
        <f t="shared" si="1"/>
        <v>0</v>
      </c>
      <c r="CA16" s="51"/>
    </row>
    <row r="17" spans="1:79" x14ac:dyDescent="0.3">
      <c r="A17" s="61" t="s">
        <v>43</v>
      </c>
      <c r="B17" s="62"/>
      <c r="C17" s="62"/>
      <c r="D17" s="62"/>
      <c r="E17" s="62"/>
      <c r="F17" s="63">
        <f t="shared" ref="F17:BQ17" si="2">SUM(F4:F16)</f>
        <v>0</v>
      </c>
      <c r="G17" s="63">
        <f t="shared" si="2"/>
        <v>0</v>
      </c>
      <c r="H17" s="63">
        <f t="shared" si="2"/>
        <v>0</v>
      </c>
      <c r="I17" s="63">
        <f t="shared" si="2"/>
        <v>0</v>
      </c>
      <c r="J17" s="63">
        <f t="shared" si="2"/>
        <v>0</v>
      </c>
      <c r="K17" s="63">
        <f t="shared" si="2"/>
        <v>0</v>
      </c>
      <c r="L17" s="63">
        <f t="shared" si="2"/>
        <v>0</v>
      </c>
      <c r="M17" s="63">
        <f t="shared" si="2"/>
        <v>0</v>
      </c>
      <c r="N17" s="63">
        <f t="shared" si="2"/>
        <v>0</v>
      </c>
      <c r="O17" s="63">
        <f t="shared" si="2"/>
        <v>0</v>
      </c>
      <c r="P17" s="63">
        <f t="shared" si="2"/>
        <v>0</v>
      </c>
      <c r="Q17" s="63">
        <f t="shared" si="2"/>
        <v>0</v>
      </c>
      <c r="R17" s="63">
        <f t="shared" si="2"/>
        <v>0</v>
      </c>
      <c r="S17" s="63">
        <f t="shared" si="2"/>
        <v>0</v>
      </c>
      <c r="T17" s="63">
        <f t="shared" si="2"/>
        <v>0</v>
      </c>
      <c r="U17" s="63">
        <f t="shared" si="2"/>
        <v>0</v>
      </c>
      <c r="V17" s="63">
        <f t="shared" si="2"/>
        <v>0</v>
      </c>
      <c r="W17" s="63">
        <f t="shared" si="2"/>
        <v>0</v>
      </c>
      <c r="X17" s="63">
        <f t="shared" si="2"/>
        <v>0</v>
      </c>
      <c r="Y17" s="63">
        <f t="shared" si="2"/>
        <v>0</v>
      </c>
      <c r="Z17" s="63">
        <f t="shared" si="2"/>
        <v>0</v>
      </c>
      <c r="AA17" s="63">
        <f t="shared" si="2"/>
        <v>0</v>
      </c>
      <c r="AB17" s="63">
        <f t="shared" si="2"/>
        <v>0</v>
      </c>
      <c r="AC17" s="63">
        <f t="shared" si="2"/>
        <v>0.24</v>
      </c>
      <c r="AD17" s="63">
        <f t="shared" si="2"/>
        <v>0.22</v>
      </c>
      <c r="AE17" s="63">
        <f t="shared" si="2"/>
        <v>0.5</v>
      </c>
      <c r="AF17" s="63">
        <f t="shared" si="2"/>
        <v>0.49</v>
      </c>
      <c r="AG17" s="63">
        <f t="shared" si="2"/>
        <v>0.3</v>
      </c>
      <c r="AH17" s="63">
        <f t="shared" si="2"/>
        <v>0.83000000000000007</v>
      </c>
      <c r="AI17" s="63">
        <f t="shared" si="2"/>
        <v>2.8499999999999996</v>
      </c>
      <c r="AJ17" s="63">
        <f t="shared" si="2"/>
        <v>0.4</v>
      </c>
      <c r="AK17" s="63">
        <f t="shared" si="2"/>
        <v>0.92</v>
      </c>
      <c r="AL17" s="63">
        <f t="shared" si="2"/>
        <v>0.78</v>
      </c>
      <c r="AM17" s="63">
        <f t="shared" si="2"/>
        <v>0.27</v>
      </c>
      <c r="AN17" s="63">
        <f t="shared" si="2"/>
        <v>0.31</v>
      </c>
      <c r="AO17" s="63">
        <f t="shared" si="2"/>
        <v>0.34</v>
      </c>
      <c r="AP17" s="63">
        <f t="shared" si="2"/>
        <v>0</v>
      </c>
      <c r="AQ17" s="63">
        <f t="shared" si="2"/>
        <v>0</v>
      </c>
      <c r="AR17" s="63">
        <f t="shared" si="2"/>
        <v>0</v>
      </c>
      <c r="AS17" s="63">
        <f t="shared" si="2"/>
        <v>0</v>
      </c>
      <c r="AT17" s="63">
        <f t="shared" si="2"/>
        <v>0</v>
      </c>
      <c r="AU17" s="63">
        <f t="shared" si="2"/>
        <v>0</v>
      </c>
      <c r="AV17" s="63">
        <f t="shared" si="2"/>
        <v>0</v>
      </c>
      <c r="AW17" s="63">
        <f t="shared" si="2"/>
        <v>0</v>
      </c>
      <c r="AX17" s="63">
        <f t="shared" si="2"/>
        <v>0</v>
      </c>
      <c r="AY17" s="63">
        <f t="shared" si="2"/>
        <v>0</v>
      </c>
      <c r="AZ17" s="63">
        <f t="shared" si="2"/>
        <v>0</v>
      </c>
      <c r="BA17" s="63">
        <f t="shared" si="2"/>
        <v>0</v>
      </c>
      <c r="BB17" s="63">
        <f t="shared" si="2"/>
        <v>0</v>
      </c>
      <c r="BC17" s="63">
        <f t="shared" si="2"/>
        <v>0</v>
      </c>
      <c r="BD17" s="63">
        <f t="shared" si="2"/>
        <v>0</v>
      </c>
      <c r="BE17" s="63">
        <f t="shared" si="2"/>
        <v>0</v>
      </c>
      <c r="BF17" s="63">
        <f t="shared" si="2"/>
        <v>0</v>
      </c>
      <c r="BG17" s="63">
        <f t="shared" si="2"/>
        <v>0</v>
      </c>
      <c r="BH17" s="63">
        <f t="shared" si="2"/>
        <v>0</v>
      </c>
      <c r="BI17" s="63">
        <f t="shared" si="2"/>
        <v>0</v>
      </c>
      <c r="BJ17" s="63">
        <f t="shared" si="2"/>
        <v>0</v>
      </c>
      <c r="BK17" s="63">
        <f t="shared" si="2"/>
        <v>0</v>
      </c>
      <c r="BL17" s="63">
        <f t="shared" si="2"/>
        <v>0</v>
      </c>
      <c r="BM17" s="63">
        <f t="shared" si="2"/>
        <v>0</v>
      </c>
      <c r="BN17" s="63">
        <f t="shared" si="2"/>
        <v>0</v>
      </c>
      <c r="BO17" s="63">
        <f t="shared" si="2"/>
        <v>0</v>
      </c>
      <c r="BP17" s="63">
        <f t="shared" si="2"/>
        <v>0</v>
      </c>
      <c r="BQ17" s="63">
        <f t="shared" si="2"/>
        <v>0</v>
      </c>
      <c r="BR17" s="63">
        <f t="shared" ref="BR17:BY17" si="3">SUM(BR4:BR16)</f>
        <v>0</v>
      </c>
      <c r="BS17" s="63">
        <f t="shared" si="3"/>
        <v>0</v>
      </c>
      <c r="BT17" s="63">
        <f t="shared" si="3"/>
        <v>0</v>
      </c>
      <c r="BU17" s="63">
        <f t="shared" si="3"/>
        <v>0</v>
      </c>
      <c r="BV17" s="63">
        <f t="shared" si="3"/>
        <v>0</v>
      </c>
      <c r="BW17" s="63">
        <f t="shared" si="3"/>
        <v>0</v>
      </c>
      <c r="BX17" s="63">
        <f t="shared" si="3"/>
        <v>0</v>
      </c>
      <c r="BY17" s="63">
        <f t="shared" si="3"/>
        <v>0</v>
      </c>
      <c r="BZ17" s="64">
        <f>SUM(F17:BY17)</f>
        <v>8.4500000000000011</v>
      </c>
      <c r="CA17" s="65">
        <f>BZ17-_xlfn.XLOOKUP("ИТОГ",'расчеты_T&amp;M'!A:A,'расчеты_T&amp;M'!F:F)</f>
        <v>0</v>
      </c>
    </row>
    <row r="18" spans="1:79" ht="15.6" x14ac:dyDescent="0.3">
      <c r="A18" s="66" t="s">
        <v>46</v>
      </c>
      <c r="CA18" s="51"/>
    </row>
    <row r="19" spans="1:79" x14ac:dyDescent="0.3">
      <c r="A19" s="114" t="s">
        <v>44</v>
      </c>
      <c r="B19" s="115"/>
      <c r="C19" s="115"/>
      <c r="D19" s="115"/>
      <c r="E19" s="116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55"/>
      <c r="CA19" s="51" t="s">
        <v>45</v>
      </c>
    </row>
    <row r="20" spans="1:79" x14ac:dyDescent="0.3">
      <c r="A20" s="54" t="str">
        <f t="shared" ref="A20:E32" si="4">A4</f>
        <v>Захаров Юрий</v>
      </c>
      <c r="B20" s="68" t="str">
        <f t="shared" si="4"/>
        <v>СМЗ</v>
      </c>
      <c r="C20" s="69">
        <f t="shared" si="4"/>
        <v>0</v>
      </c>
      <c r="D20" s="57">
        <f t="shared" si="4"/>
        <v>0</v>
      </c>
      <c r="E20" s="58">
        <f t="shared" si="4"/>
        <v>2127.66</v>
      </c>
      <c r="F20" s="70" cm="1">
        <f t="array" ref="F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проекта'!F$1)/(1+IFERROR(_xlfn.XLOOKUP($A20,Таблица1[[Специалист]:[Специалист]],Таблица1[[Ставка НДС]:[Ставка НДС]]),0))</f>
        <v>0</v>
      </c>
      <c r="G20" s="70" cm="1">
        <f t="array" ref="G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проекта'!G$1)/(1+IFERROR(_xlfn.XLOOKUP($A20,Таблица1[[Специалист]:[Специалист]],Таблица1[[Ставка НДС]:[Ставка НДС]]),0))</f>
        <v>0</v>
      </c>
      <c r="H20" s="70" cm="1">
        <f t="array" ref="H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проекта'!H$1)/(1+IFERROR(_xlfn.XLOOKUP($A20,Таблица1[[Специалист]:[Специалист]],Таблица1[[Ставка НДС]:[Ставка НДС]]),0))</f>
        <v>0</v>
      </c>
      <c r="I20" s="70" cm="1">
        <f t="array" ref="I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проекта'!I$1)/(1+IFERROR(_xlfn.XLOOKUP($A20,Таблица1[[Специалист]:[Специалист]],Таблица1[[Ставка НДС]:[Ставка НДС]]),0))</f>
        <v>0</v>
      </c>
      <c r="J20" s="70" cm="1">
        <f t="array" ref="J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проекта'!J$1)/(1+IFERROR(_xlfn.XLOOKUP($A20,Таблица1[[Специалист]:[Специалист]],Таблица1[[Ставка НДС]:[Ставка НДС]]),0))</f>
        <v>0</v>
      </c>
      <c r="K20" s="70" cm="1">
        <f t="array" ref="K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проекта'!K$1)/(1+IFERROR(_xlfn.XLOOKUP($A20,Таблица1[[Специалист]:[Специалист]],Таблица1[[Ставка НДС]:[Ставка НДС]]),0))</f>
        <v>0</v>
      </c>
      <c r="L20" s="70" cm="1">
        <f t="array" ref="L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проекта'!L$1)/(1+IFERROR(_xlfn.XLOOKUP($A20,Таблица1[[Специалист]:[Специалист]],Таблица1[[Ставка НДС]:[Ставка НДС]]),0))</f>
        <v>0</v>
      </c>
      <c r="M20" s="70" cm="1">
        <f t="array" ref="M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проекта'!M$1)/(1+IFERROR(_xlfn.XLOOKUP($A20,Таблица1[[Специалист]:[Специалист]],Таблица1[[Ставка НДС]:[Ставка НДС]]),0))</f>
        <v>0</v>
      </c>
      <c r="N20" s="70" cm="1">
        <f t="array" ref="N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проекта'!N$1)/(1+IFERROR(_xlfn.XLOOKUP($A20,Таблица1[[Специалист]:[Специалист]],Таблица1[[Ставка НДС]:[Ставка НДС]]),0))</f>
        <v>0</v>
      </c>
      <c r="O20" s="70" cm="1">
        <f t="array" ref="O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проекта'!O$1)/(1+IFERROR(_xlfn.XLOOKUP($A20,Таблица1[[Специалист]:[Специалист]],Таблица1[[Ставка НДС]:[Ставка НДС]]),0))</f>
        <v>0</v>
      </c>
      <c r="P20" s="70" cm="1">
        <f t="array" ref="P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проекта'!P$1)/(1+IFERROR(_xlfn.XLOOKUP($A20,Таблица1[[Специалист]:[Специалист]],Таблица1[[Ставка НДС]:[Ставка НДС]]),0))</f>
        <v>0</v>
      </c>
      <c r="Q20" s="70" cm="1">
        <f t="array" ref="Q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проекта'!Q$1)/(1+IFERROR(_xlfn.XLOOKUP($A20,Таблица1[[Специалист]:[Специалист]],Таблица1[[Ставка НДС]:[Ставка НДС]]),0))</f>
        <v>0</v>
      </c>
      <c r="R20" s="70" cm="1">
        <f t="array" ref="R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проекта'!R$1)/(1+IFERROR(_xlfn.XLOOKUP($A20,Таблица1[[Специалист]:[Специалист]],Таблица1[[Ставка НДС]:[Ставка НДС]]),0))</f>
        <v>0</v>
      </c>
      <c r="S20" s="70" cm="1">
        <f t="array" ref="S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проекта'!S$1)/(1+IFERROR(_xlfn.XLOOKUP($A20,Таблица1[[Специалист]:[Специалист]],Таблица1[[Ставка НДС]:[Ставка НДС]]),0))</f>
        <v>0</v>
      </c>
      <c r="T20" s="70" cm="1">
        <f t="array" ref="T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проекта'!T$1)/(1+IFERROR(_xlfn.XLOOKUP($A20,Таблица1[[Специалист]:[Специалист]],Таблица1[[Ставка НДС]:[Ставка НДС]]),0))</f>
        <v>0</v>
      </c>
      <c r="U20" s="70" cm="1">
        <f t="array" ref="U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проекта'!U$1)/(1+IFERROR(_xlfn.XLOOKUP($A20,Таблица1[[Специалист]:[Специалист]],Таблица1[[Ставка НДС]:[Ставка НДС]]),0))</f>
        <v>0</v>
      </c>
      <c r="V20" s="70" cm="1">
        <f t="array" ref="V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проекта'!V$1)/(1+IFERROR(_xlfn.XLOOKUP($A20,Таблица1[[Специалист]:[Специалист]],Таблица1[[Ставка НДС]:[Ставка НДС]]),0))</f>
        <v>0</v>
      </c>
      <c r="W20" s="70" cm="1">
        <f t="array" ref="W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проекта'!W$1)/(1+IFERROR(_xlfn.XLOOKUP($A20,Таблица1[[Специалист]:[Специалист]],Таблица1[[Ставка НДС]:[Ставка НДС]]),0))</f>
        <v>0</v>
      </c>
      <c r="X20" s="70" cm="1">
        <f t="array" ref="X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проекта'!X$1)/(1+IFERROR(_xlfn.XLOOKUP($A20,Таблица1[[Специалист]:[Специалист]],Таблица1[[Ставка НДС]:[Ставка НДС]]),0))</f>
        <v>0</v>
      </c>
      <c r="Y20" s="70" cm="1">
        <f t="array" ref="Y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проекта'!Y$1)/(1+IFERROR(_xlfn.XLOOKUP($A20,Таблица1[[Специалист]:[Специалист]],Таблица1[[Ставка НДС]:[Ставка НДС]]),0))</f>
        <v>0</v>
      </c>
      <c r="Z20" s="70" cm="1">
        <f t="array" ref="Z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проекта'!Z$1)/(1+IFERROR(_xlfn.XLOOKUP($A20,Таблица1[[Специалист]:[Специалист]],Таблица1[[Ставка НДС]:[Ставка НДС]]),0))</f>
        <v>0</v>
      </c>
      <c r="AA20" s="70" cm="1">
        <f t="array" ref="AA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проекта'!AA$1)/(1+IFERROR(_xlfn.XLOOKUP($A20,Таблица1[[Специалист]:[Специалист]],Таблица1[[Ставка НДС]:[Ставка НДС]]),0))</f>
        <v>0</v>
      </c>
      <c r="AB20" s="70" cm="1">
        <f t="array" ref="AB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проекта'!AB$1)/(1+IFERROR(_xlfn.XLOOKUP($A20,Таблица1[[Специалист]:[Специалист]],Таблица1[[Ставка НДС]:[Ставка НДС]]),0))</f>
        <v>0</v>
      </c>
      <c r="AC20" s="70" cm="1">
        <f t="array" ref="AC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проекта'!AC$1)/(1+IFERROR(_xlfn.XLOOKUP($A20,Таблица1[[Специалист]:[Специалист]],Таблица1[[Ставка НДС]:[Ставка НДС]]),0))</f>
        <v>0</v>
      </c>
      <c r="AD20" s="70" cm="1">
        <f t="array" ref="AD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проекта'!AD$1)/(1+IFERROR(_xlfn.XLOOKUP($A20,Таблица1[[Специалист]:[Специалист]],Таблица1[[Ставка НДС]:[Ставка НДС]]),0))</f>
        <v>85809</v>
      </c>
      <c r="AE20" s="70" cm="1">
        <f t="array" ref="AE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проекта'!AE$1)/(1+IFERROR(_xlfn.XLOOKUP($A20,Таблица1[[Специалист]:[Специалист]],Таблица1[[Ставка НДС]:[Ставка НДС]]),0))</f>
        <v>0</v>
      </c>
      <c r="AF20" s="70" cm="1">
        <f t="array" ref="AF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проекта'!AF$1)/(1+IFERROR(_xlfn.XLOOKUP($A20,Таблица1[[Специалист]:[Специалист]],Таблица1[[Ставка НДС]:[Ставка НДС]]),0))</f>
        <v>63830</v>
      </c>
      <c r="AG20" s="70" cm="1">
        <f t="array" ref="AG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проекта'!AG$1)/(1+IFERROR(_xlfn.XLOOKUP($A20,Таблица1[[Специалист]:[Специалист]],Таблица1[[Ставка НДС]:[Ставка НДС]]),0))</f>
        <v>342553</v>
      </c>
      <c r="AH20" s="70" cm="1">
        <f t="array" ref="AH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проекта'!AH$1)/(1+IFERROR(_xlfn.XLOOKUP($A20,Таблица1[[Специалист]:[Специалист]],Таблица1[[Ставка НДС]:[Ставка НДС]]),0))</f>
        <v>225532</v>
      </c>
      <c r="AI20" s="70" cm="1">
        <f t="array" ref="AI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проекта'!AI$1)/(1+IFERROR(_xlfn.XLOOKUP($A20,Таблица1[[Специалист]:[Специалист]],Таблица1[[Ставка НДС]:[Ставка НДС]]),0))</f>
        <v>0</v>
      </c>
      <c r="AJ20" s="70" cm="1">
        <f t="array" ref="AJ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проекта'!AJ$1)/(1+IFERROR(_xlfn.XLOOKUP($A20,Таблица1[[Специалист]:[Специалист]],Таблица1[[Ставка НДС]:[Ставка НДС]]),0))</f>
        <v>0</v>
      </c>
      <c r="AK20" s="70" cm="1">
        <f t="array" ref="AK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проекта'!AK$1)/(1+IFERROR(_xlfn.XLOOKUP($A20,Таблица1[[Специалист]:[Специалист]],Таблица1[[Ставка НДС]:[Ставка НДС]]),0))</f>
        <v>170213</v>
      </c>
      <c r="AL20" s="70" cm="1">
        <f t="array" ref="AL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проекта'!AL$1)/(1+IFERROR(_xlfn.XLOOKUP($A20,Таблица1[[Специалист]:[Специалист]],Таблица1[[Ставка НДС]:[Ставка НДС]]),0))</f>
        <v>29787</v>
      </c>
      <c r="AM20" s="70" cm="1">
        <f t="array" ref="AM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проекта'!AM$1)/(1+IFERROR(_xlfn.XLOOKUP($A20,Таблица1[[Специалист]:[Специалист]],Таблица1[[Ставка НДС]:[Ставка НДС]]),0))</f>
        <v>25532</v>
      </c>
      <c r="AN20" s="70" cm="1">
        <f t="array" ref="AN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проекта'!AN$1)/(1+IFERROR(_xlfn.XLOOKUP($A20,Таблица1[[Специалист]:[Специалист]],Таблица1[[Ставка НДС]:[Ставка НДС]]),0))</f>
        <v>104255</v>
      </c>
      <c r="AO20" s="70" cm="1">
        <f t="array" ref="AO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проекта'!AO$1)/(1+IFERROR(_xlfn.XLOOKUP($A20,Таблица1[[Специалист]:[Специалист]],Таблица1[[Ставка НДС]:[Ставка НДС]]),0))</f>
        <v>100000</v>
      </c>
      <c r="AP20" s="70" cm="1">
        <f t="array" ref="AP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проекта'!AP$1)/(1+IFERROR(_xlfn.XLOOKUP($A20,Таблица1[[Специалист]:[Специалист]],Таблица1[[Ставка НДС]:[Ставка НДС]]),0))</f>
        <v>151064</v>
      </c>
      <c r="AQ20" s="70" cm="1">
        <f t="array" ref="AQ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проекта'!AQ$1)/(1+IFERROR(_xlfn.XLOOKUP($A20,Таблица1[[Специалист]:[Специалист]],Таблица1[[Ставка НДС]:[Ставка НДС]]),0))</f>
        <v>0</v>
      </c>
      <c r="AR20" s="70" cm="1">
        <f t="array" ref="AR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проекта'!AR$1)/(1+IFERROR(_xlfn.XLOOKUP($A20,Таблица1[[Специалист]:[Специалист]],Таблица1[[Ставка НДС]:[Ставка НДС]]),0))</f>
        <v>0</v>
      </c>
      <c r="AS20" s="70" cm="1">
        <f t="array" ref="AS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проекта'!AS$1)/(1+IFERROR(_xlfn.XLOOKUP($A20,Таблица1[[Специалист]:[Специалист]],Таблица1[[Ставка НДС]:[Ставка НДС]]),0))</f>
        <v>0</v>
      </c>
      <c r="AT20" s="70" cm="1">
        <f t="array" ref="AT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проекта'!AT$1)/(1+IFERROR(_xlfn.XLOOKUP($A20,Таблица1[[Специалист]:[Специалист]],Таблица1[[Ставка НДС]:[Ставка НДС]]),0))</f>
        <v>0</v>
      </c>
      <c r="AU20" s="70" cm="1">
        <f t="array" ref="AU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проекта'!AU$1)/(1+IFERROR(_xlfn.XLOOKUP($A20,Таблица1[[Специалист]:[Специалист]],Таблица1[[Ставка НДС]:[Ставка НДС]]),0))</f>
        <v>0</v>
      </c>
      <c r="AV20" s="70" cm="1">
        <f t="array" ref="AV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проекта'!AV$1)/(1+IFERROR(_xlfn.XLOOKUP($A20,Таблица1[[Специалист]:[Специалист]],Таблица1[[Ставка НДС]:[Ставка НДС]]),0))</f>
        <v>0</v>
      </c>
      <c r="AW20" s="70" cm="1">
        <f t="array" ref="AW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проекта'!AW$1)/(1+IFERROR(_xlfn.XLOOKUP($A20,Таблица1[[Специалист]:[Специалист]],Таблица1[[Ставка НДС]:[Ставка НДС]]),0))</f>
        <v>0</v>
      </c>
      <c r="AX20" s="70" cm="1">
        <f t="array" ref="AX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проекта'!AX$1)/(1+IFERROR(_xlfn.XLOOKUP($A20,Таблица1[[Специалист]:[Специалист]],Таблица1[[Ставка НДС]:[Ставка НДС]]),0))</f>
        <v>0</v>
      </c>
      <c r="AY20" s="70" cm="1">
        <f t="array" ref="AY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проекта'!AY$1)/(1+IFERROR(_xlfn.XLOOKUP($A20,Таблица1[[Специалист]:[Специалист]],Таблица1[[Ставка НДС]:[Ставка НДС]]),0))</f>
        <v>0</v>
      </c>
      <c r="AZ20" s="70" cm="1">
        <f t="array" ref="AZ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проекта'!AZ$1)/(1+IFERROR(_xlfn.XLOOKUP($A20,Таблица1[[Специалист]:[Специалист]],Таблица1[[Ставка НДС]:[Ставка НДС]]),0))</f>
        <v>0</v>
      </c>
      <c r="BA20" s="70" cm="1">
        <f t="array" ref="BA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проекта'!BA$1)/(1+IFERROR(_xlfn.XLOOKUP($A20,Таблица1[[Специалист]:[Специалист]],Таблица1[[Ставка НДС]:[Ставка НДС]]),0))</f>
        <v>0</v>
      </c>
      <c r="BB20" s="70" cm="1">
        <f t="array" ref="BB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проекта'!BB$1)/(1+IFERROR(_xlfn.XLOOKUP($A20,Таблица1[[Специалист]:[Специалист]],Таблица1[[Ставка НДС]:[Ставка НДС]]),0))</f>
        <v>0</v>
      </c>
      <c r="BC20" s="70" cm="1">
        <f t="array" ref="BC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проекта'!BC$1)/(1+IFERROR(_xlfn.XLOOKUP($A20,Таблица1[[Специалист]:[Специалист]],Таблица1[[Ставка НДС]:[Ставка НДС]]),0))</f>
        <v>0</v>
      </c>
      <c r="BD20" s="70" cm="1">
        <f t="array" ref="BD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проекта'!BD$1)/(1+IFERROR(_xlfn.XLOOKUP($A20,Таблица1[[Специалист]:[Специалист]],Таблица1[[Ставка НДС]:[Ставка НДС]]),0))</f>
        <v>0</v>
      </c>
      <c r="BE20" s="70" cm="1">
        <f t="array" ref="BE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проекта'!BE$1)/(1+IFERROR(_xlfn.XLOOKUP($A20,Таблица1[[Специалист]:[Специалист]],Таблица1[[Ставка НДС]:[Ставка НДС]]),0))</f>
        <v>0</v>
      </c>
      <c r="BF20" s="70" cm="1">
        <f t="array" ref="BF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проекта'!BF$1)/(1+IFERROR(_xlfn.XLOOKUP($A20,Таблица1[[Специалист]:[Специалист]],Таблица1[[Ставка НДС]:[Ставка НДС]]),0))</f>
        <v>0</v>
      </c>
      <c r="BG20" s="70" cm="1">
        <f t="array" ref="BG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проекта'!BG$1)/(1+IFERROR(_xlfn.XLOOKUP($A20,Таблица1[[Специалист]:[Специалист]],Таблица1[[Ставка НДС]:[Ставка НДС]]),0))</f>
        <v>0</v>
      </c>
      <c r="BH20" s="70" cm="1">
        <f t="array" ref="BH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проекта'!BH$1)/(1+IFERROR(_xlfn.XLOOKUP($A20,Таблица1[[Специалист]:[Специалист]],Таблица1[[Ставка НДС]:[Ставка НДС]]),0))</f>
        <v>0</v>
      </c>
      <c r="BI20" s="70" cm="1">
        <f t="array" ref="BI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проекта'!BI$1)/(1+IFERROR(_xlfn.XLOOKUP($A20,Таблица1[[Специалист]:[Специалист]],Таблица1[[Ставка НДС]:[Ставка НДС]]),0))</f>
        <v>0</v>
      </c>
      <c r="BJ20" s="70" cm="1">
        <f t="array" ref="BJ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проекта'!BJ$1)/(1+IFERROR(_xlfn.XLOOKUP($A20,Таблица1[[Специалист]:[Специалист]],Таблица1[[Ставка НДС]:[Ставка НДС]]),0))</f>
        <v>0</v>
      </c>
      <c r="BK20" s="70" cm="1">
        <f t="array" ref="BK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проекта'!BK$1)/(1+IFERROR(_xlfn.XLOOKUP($A20,Таблица1[[Специалист]:[Специалист]],Таблица1[[Ставка НДС]:[Ставка НДС]]),0))</f>
        <v>0</v>
      </c>
      <c r="BL20" s="70" cm="1">
        <f t="array" ref="BL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проекта'!BL$1)/(1+IFERROR(_xlfn.XLOOKUP($A20,Таблица1[[Специалист]:[Специалист]],Таблица1[[Ставка НДС]:[Ставка НДС]]),0))</f>
        <v>0</v>
      </c>
      <c r="BM20" s="70" cm="1">
        <f t="array" ref="BM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проекта'!BM$1)/(1+IFERROR(_xlfn.XLOOKUP($A20,Таблица1[[Специалист]:[Специалист]],Таблица1[[Ставка НДС]:[Ставка НДС]]),0))</f>
        <v>0</v>
      </c>
      <c r="BN20" s="70" cm="1">
        <f t="array" ref="BN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проекта'!BN$1)/(1+IFERROR(_xlfn.XLOOKUP($A20,Таблица1[[Специалист]:[Специалист]],Таблица1[[Ставка НДС]:[Ставка НДС]]),0))</f>
        <v>0</v>
      </c>
      <c r="BO20" s="70" cm="1">
        <f t="array" ref="BO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проекта'!BO$1)/(1+IFERROR(_xlfn.XLOOKUP($A20,Таблица1[[Специалист]:[Специалист]],Таблица1[[Ставка НДС]:[Ставка НДС]]),0))</f>
        <v>0</v>
      </c>
      <c r="BP20" s="70" cm="1">
        <f t="array" ref="BP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проекта'!BP$1)/(1+IFERROR(_xlfn.XLOOKUP($A20,Таблица1[[Специалист]:[Специалист]],Таблица1[[Ставка НДС]:[Ставка НДС]]),0))</f>
        <v>0</v>
      </c>
      <c r="BQ20" s="70" cm="1">
        <f t="array" ref="BQ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проекта'!BQ$1)/(1+IFERROR(_xlfn.XLOOKUP($A20,Таблица1[[Специалист]:[Специалист]],Таблица1[[Ставка НДС]:[Ставка НДС]]),0))</f>
        <v>0</v>
      </c>
      <c r="BR20" s="70" cm="1">
        <f t="array" ref="BR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проекта'!BR$1)/(1+IFERROR(_xlfn.XLOOKUP($A20,Таблица1[[Специалист]:[Специалист]],Таблица1[[Ставка НДС]:[Ставка НДС]]),0))</f>
        <v>0</v>
      </c>
      <c r="BS20" s="70" cm="1">
        <f t="array" ref="BS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проекта'!BS$1)/(1+IFERROR(_xlfn.XLOOKUP($A20,Таблица1[[Специалист]:[Специалист]],Таблица1[[Ставка НДС]:[Ставка НДС]]),0))</f>
        <v>0</v>
      </c>
      <c r="BT20" s="70" cm="1">
        <f t="array" ref="BT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проекта'!BT$1)/(1+IFERROR(_xlfn.XLOOKUP($A20,Таблица1[[Специалист]:[Специалист]],Таблица1[[Ставка НДС]:[Ставка НДС]]),0))</f>
        <v>0</v>
      </c>
      <c r="BU20" s="70" cm="1">
        <f t="array" ref="BU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проекта'!BU$1)/(1+IFERROR(_xlfn.XLOOKUP($A20,Таблица1[[Специалист]:[Специалист]],Таблица1[[Ставка НДС]:[Ставка НДС]]),0))</f>
        <v>0</v>
      </c>
      <c r="BV20" s="70" cm="1">
        <f t="array" ref="BV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проекта'!BV$1)/(1+IFERROR(_xlfn.XLOOKUP($A20,Таблица1[[Специалист]:[Специалист]],Таблица1[[Ставка НДС]:[Ставка НДС]]),0))</f>
        <v>0</v>
      </c>
      <c r="BW20" s="70" cm="1">
        <f t="array" ref="BW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проекта'!BW$1)/(1+IFERROR(_xlfn.XLOOKUP($A20,Таблица1[[Специалист]:[Специалист]],Таблица1[[Ставка НДС]:[Ставка НДС]]),0))</f>
        <v>0</v>
      </c>
      <c r="BX20" s="70" cm="1">
        <f t="array" ref="BX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проекта'!BX$1)/(1+IFERROR(_xlfn.XLOOKUP($A20,Таблица1[[Специалист]:[Специалист]],Таблица1[[Ставка НДС]:[Ставка НДС]]),0))</f>
        <v>0</v>
      </c>
      <c r="BY20" s="70" cm="1">
        <f t="array" ref="BY20">SUMIFS(Таблица1[[Итого со страховыми]:[Итого со страховыми]],Таблица1[[Специалист]:[Специалист]],'шаблон расчета проекта'!$A20,Таблица1[[Прогнозный месяц подписания Акта]:[Прогнозный месяц подписания Акта]],'шаблон расчета проекта'!BY$1)/(1+IFERROR(_xlfn.XLOOKUP($A20,Таблица1[[Специалист]:[Специалист]],Таблица1[[Ставка НДС]:[Ставка НДС]]),0))</f>
        <v>0</v>
      </c>
      <c r="BZ20" s="71">
        <f t="shared" ref="BZ20:BZ33" si="5">SUM(F20:BY20)</f>
        <v>1298575</v>
      </c>
      <c r="CA20" s="51"/>
    </row>
    <row r="21" spans="1:79" x14ac:dyDescent="0.3">
      <c r="A21" s="54" t="str">
        <f t="shared" si="4"/>
        <v>Толстоусова Ольга</v>
      </c>
      <c r="B21" s="68" t="str">
        <f t="shared" si="4"/>
        <v>ГПХ</v>
      </c>
      <c r="C21" s="69">
        <f t="shared" si="4"/>
        <v>7.8E-2</v>
      </c>
      <c r="D21" s="57">
        <f t="shared" si="4"/>
        <v>0</v>
      </c>
      <c r="E21" s="58">
        <f t="shared" si="4"/>
        <v>2710</v>
      </c>
      <c r="F21" s="70" cm="1">
        <f t="array" ref="F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проекта'!F$1)/(1+IFERROR(_xlfn.XLOOKUP($A21,Таблица1[[Специалист]:[Специалист]],Таблица1[[Ставка НДС]:[Ставка НДС]]),0))</f>
        <v>0</v>
      </c>
      <c r="G21" s="70" cm="1">
        <f t="array" ref="G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проекта'!G$1)/(1+IFERROR(_xlfn.XLOOKUP($A21,Таблица1[[Специалист]:[Специалист]],Таблица1[[Ставка НДС]:[Ставка НДС]]),0))</f>
        <v>0</v>
      </c>
      <c r="H21" s="70" cm="1">
        <f t="array" ref="H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проекта'!H$1)/(1+IFERROR(_xlfn.XLOOKUP($A21,Таблица1[[Специалист]:[Специалист]],Таблица1[[Ставка НДС]:[Ставка НДС]]),0))</f>
        <v>0</v>
      </c>
      <c r="I21" s="70" cm="1">
        <f t="array" ref="I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проекта'!I$1)/(1+IFERROR(_xlfn.XLOOKUP($A21,Таблица1[[Специалист]:[Специалист]],Таблица1[[Ставка НДС]:[Ставка НДС]]),0))</f>
        <v>0</v>
      </c>
      <c r="J21" s="70" cm="1">
        <f t="array" ref="J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проекта'!J$1)/(1+IFERROR(_xlfn.XLOOKUP($A21,Таблица1[[Специалист]:[Специалист]],Таблица1[[Ставка НДС]:[Ставка НДС]]),0))</f>
        <v>0</v>
      </c>
      <c r="K21" s="70" cm="1">
        <f t="array" ref="K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проекта'!K$1)/(1+IFERROR(_xlfn.XLOOKUP($A21,Таблица1[[Специалист]:[Специалист]],Таблица1[[Ставка НДС]:[Ставка НДС]]),0))</f>
        <v>0</v>
      </c>
      <c r="L21" s="70" cm="1">
        <f t="array" ref="L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проекта'!L$1)/(1+IFERROR(_xlfn.XLOOKUP($A21,Таблица1[[Специалист]:[Специалист]],Таблица1[[Ставка НДС]:[Ставка НДС]]),0))</f>
        <v>0</v>
      </c>
      <c r="M21" s="70" cm="1">
        <f t="array" ref="M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проекта'!M$1)/(1+IFERROR(_xlfn.XLOOKUP($A21,Таблица1[[Специалист]:[Специалист]],Таблица1[[Ставка НДС]:[Ставка НДС]]),0))</f>
        <v>0</v>
      </c>
      <c r="N21" s="70" cm="1">
        <f t="array" ref="N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проекта'!N$1)/(1+IFERROR(_xlfn.XLOOKUP($A21,Таблица1[[Специалист]:[Специалист]],Таблица1[[Ставка НДС]:[Ставка НДС]]),0))</f>
        <v>0</v>
      </c>
      <c r="O21" s="70" cm="1">
        <f t="array" ref="O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проекта'!O$1)/(1+IFERROR(_xlfn.XLOOKUP($A21,Таблица1[[Специалист]:[Специалист]],Таблица1[[Ставка НДС]:[Ставка НДС]]),0))</f>
        <v>0</v>
      </c>
      <c r="P21" s="70" cm="1">
        <f t="array" ref="P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проекта'!P$1)/(1+IFERROR(_xlfn.XLOOKUP($A21,Таблица1[[Специалист]:[Специалист]],Таблица1[[Ставка НДС]:[Ставка НДС]]),0))</f>
        <v>0</v>
      </c>
      <c r="Q21" s="70" cm="1">
        <f t="array" ref="Q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проекта'!Q$1)/(1+IFERROR(_xlfn.XLOOKUP($A21,Таблица1[[Специалист]:[Специалист]],Таблица1[[Ставка НДС]:[Ставка НДС]]),0))</f>
        <v>0</v>
      </c>
      <c r="R21" s="70" cm="1">
        <f t="array" ref="R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проекта'!R$1)/(1+IFERROR(_xlfn.XLOOKUP($A21,Таблица1[[Специалист]:[Специалист]],Таблица1[[Ставка НДС]:[Ставка НДС]]),0))</f>
        <v>0</v>
      </c>
      <c r="S21" s="70" cm="1">
        <f t="array" ref="S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проекта'!S$1)/(1+IFERROR(_xlfn.XLOOKUP($A21,Таблица1[[Специалист]:[Специалист]],Таблица1[[Ставка НДС]:[Ставка НДС]]),0))</f>
        <v>0</v>
      </c>
      <c r="T21" s="70" cm="1">
        <f t="array" ref="T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проекта'!T$1)/(1+IFERROR(_xlfn.XLOOKUP($A21,Таблица1[[Специалист]:[Специалист]],Таблица1[[Ставка НДС]:[Ставка НДС]]),0))</f>
        <v>0</v>
      </c>
      <c r="U21" s="70" cm="1">
        <f t="array" ref="U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проекта'!U$1)/(1+IFERROR(_xlfn.XLOOKUP($A21,Таблица1[[Специалист]:[Специалист]],Таблица1[[Ставка НДС]:[Ставка НДС]]),0))</f>
        <v>0</v>
      </c>
      <c r="V21" s="70" cm="1">
        <f t="array" ref="V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проекта'!V$1)/(1+IFERROR(_xlfn.XLOOKUP($A21,Таблица1[[Специалист]:[Специалист]],Таблица1[[Ставка НДС]:[Ставка НДС]]),0))</f>
        <v>0</v>
      </c>
      <c r="W21" s="70" cm="1">
        <f t="array" ref="W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проекта'!W$1)/(1+IFERROR(_xlfn.XLOOKUP($A21,Таблица1[[Специалист]:[Специалист]],Таблица1[[Ставка НДС]:[Ставка НДС]]),0))</f>
        <v>0</v>
      </c>
      <c r="X21" s="70" cm="1">
        <f t="array" ref="X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проекта'!X$1)/(1+IFERROR(_xlfn.XLOOKUP($A21,Таблица1[[Специалист]:[Специалист]],Таблица1[[Ставка НДС]:[Ставка НДС]]),0))</f>
        <v>0</v>
      </c>
      <c r="Y21" s="70" cm="1">
        <f t="array" ref="Y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проекта'!Y$1)/(1+IFERROR(_xlfn.XLOOKUP($A21,Таблица1[[Специалист]:[Специалист]],Таблица1[[Ставка НДС]:[Ставка НДС]]),0))</f>
        <v>0</v>
      </c>
      <c r="Z21" s="70" cm="1">
        <f t="array" ref="Z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проекта'!Z$1)/(1+IFERROR(_xlfn.XLOOKUP($A21,Таблица1[[Специалист]:[Специалист]],Таблица1[[Ставка НДС]:[Ставка НДС]]),0))</f>
        <v>0</v>
      </c>
      <c r="AA21" s="70" cm="1">
        <f t="array" ref="AA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проекта'!AA$1)/(1+IFERROR(_xlfn.XLOOKUP($A21,Таблица1[[Специалист]:[Специалист]],Таблица1[[Ставка НДС]:[Ставка НДС]]),0))</f>
        <v>0</v>
      </c>
      <c r="AB21" s="70" cm="1">
        <f t="array" ref="AB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проекта'!AB$1)/(1+IFERROR(_xlfn.XLOOKUP($A21,Таблица1[[Специалист]:[Специалист]],Таблица1[[Ставка НДС]:[Ставка НДС]]),0))</f>
        <v>0</v>
      </c>
      <c r="AC21" s="70" cm="1">
        <f t="array" ref="AC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проекта'!AC$1)/(1+IFERROR(_xlfn.XLOOKUP($A21,Таблица1[[Специалист]:[Специалист]],Таблица1[[Ставка НДС]:[Ставка НДС]]),0))</f>
        <v>0</v>
      </c>
      <c r="AD21" s="70" cm="1">
        <f t="array" ref="AD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проекта'!AD$1)/(1+IFERROR(_xlfn.XLOOKUP($A21,Таблица1[[Специалист]:[Специалист]],Таблица1[[Ставка НДС]:[Ставка НДС]]),0))</f>
        <v>0</v>
      </c>
      <c r="AE21" s="70" cm="1">
        <f t="array" ref="AE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проекта'!AE$1)/(1+IFERROR(_xlfn.XLOOKUP($A21,Таблица1[[Специалист]:[Специалист]],Таблица1[[Ставка НДС]:[Ставка НДС]]),0))</f>
        <v>0</v>
      </c>
      <c r="AF21" s="70" cm="1">
        <f t="array" ref="AF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проекта'!AF$1)/(1+IFERROR(_xlfn.XLOOKUP($A21,Таблица1[[Специалист]:[Специалист]],Таблица1[[Ставка НДС]:[Ставка НДС]]),0))</f>
        <v>0</v>
      </c>
      <c r="AG21" s="70" cm="1">
        <f t="array" ref="AG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проекта'!AG$1)/(1+IFERROR(_xlfn.XLOOKUP($A21,Таблица1[[Специалист]:[Специалист]],Таблица1[[Ставка НДС]:[Ставка НДС]]),0))</f>
        <v>0</v>
      </c>
      <c r="AH21" s="70" cm="1">
        <f t="array" ref="AH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проекта'!AH$1)/(1+IFERROR(_xlfn.XLOOKUP($A21,Таблица1[[Специалист]:[Специалист]],Таблица1[[Ставка НДС]:[Ставка НДС]]),0))</f>
        <v>0</v>
      </c>
      <c r="AI21" s="70" cm="1">
        <f t="array" ref="AI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проекта'!AI$1)/(1+IFERROR(_xlfn.XLOOKUP($A21,Таблица1[[Специалист]:[Специалист]],Таблица1[[Ставка НДС]:[Ставка НДС]]),0))</f>
        <v>0</v>
      </c>
      <c r="AJ21" s="70" cm="1">
        <f t="array" ref="AJ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проекта'!AJ$1)/(1+IFERROR(_xlfn.XLOOKUP($A21,Таблица1[[Специалист]:[Специалист]],Таблица1[[Ставка НДС]:[Ставка НДС]]),0))</f>
        <v>0</v>
      </c>
      <c r="AK21" s="70" cm="1">
        <f t="array" ref="AK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проекта'!AK$1)/(1+IFERROR(_xlfn.XLOOKUP($A21,Таблица1[[Специалист]:[Специалист]],Таблица1[[Ставка НДС]:[Ставка НДС]]),0))</f>
        <v>466554</v>
      </c>
      <c r="AL21" s="70" cm="1">
        <f t="array" ref="AL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проекта'!AL$1)/(1+IFERROR(_xlfn.XLOOKUP($A21,Таблица1[[Специалист]:[Специалист]],Таблица1[[Ставка НДС]:[Ставка НДС]]),0))</f>
        <v>166210</v>
      </c>
      <c r="AM21" s="70" cm="1">
        <f t="array" ref="AM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проекта'!AM$1)/(1+IFERROR(_xlfn.XLOOKUP($A21,Таблица1[[Специалист]:[Специалист]],Таблица1[[Ставка НДС]:[Ставка НДС]]),0))</f>
        <v>364495</v>
      </c>
      <c r="AN21" s="70" cm="1">
        <f t="array" ref="AN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проекта'!AN$1)/(1+IFERROR(_xlfn.XLOOKUP($A21,Таблица1[[Специалист]:[Специалист]],Таблица1[[Ставка НДС]:[Ставка НДС]]),0))</f>
        <v>0</v>
      </c>
      <c r="AO21" s="70" cm="1">
        <f t="array" ref="AO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проекта'!AO$1)/(1+IFERROR(_xlfn.XLOOKUP($A21,Таблица1[[Специалист]:[Специалист]],Таблица1[[Ставка НДС]:[Ставка НДС]]),0))</f>
        <v>0</v>
      </c>
      <c r="AP21" s="70" cm="1">
        <f t="array" ref="AP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проекта'!AP$1)/(1+IFERROR(_xlfn.XLOOKUP($A21,Таблица1[[Специалист]:[Специалист]],Таблица1[[Ставка НДС]:[Ставка НДС]]),0))</f>
        <v>0</v>
      </c>
      <c r="AQ21" s="70" cm="1">
        <f t="array" ref="AQ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проекта'!AQ$1)/(1+IFERROR(_xlfn.XLOOKUP($A21,Таблица1[[Специалист]:[Специалист]],Таблица1[[Ставка НДС]:[Ставка НДС]]),0))</f>
        <v>0</v>
      </c>
      <c r="AR21" s="70" cm="1">
        <f t="array" ref="AR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проекта'!AR$1)/(1+IFERROR(_xlfn.XLOOKUP($A21,Таблица1[[Специалист]:[Специалист]],Таблица1[[Ставка НДС]:[Ставка НДС]]),0))</f>
        <v>0</v>
      </c>
      <c r="AS21" s="70" cm="1">
        <f t="array" ref="AS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проекта'!AS$1)/(1+IFERROR(_xlfn.XLOOKUP($A21,Таблица1[[Специалист]:[Специалист]],Таблица1[[Ставка НДС]:[Ставка НДС]]),0))</f>
        <v>0</v>
      </c>
      <c r="AT21" s="70" cm="1">
        <f t="array" ref="AT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проекта'!AT$1)/(1+IFERROR(_xlfn.XLOOKUP($A21,Таблица1[[Специалист]:[Специалист]],Таблица1[[Ставка НДС]:[Ставка НДС]]),0))</f>
        <v>0</v>
      </c>
      <c r="AU21" s="70" cm="1">
        <f t="array" ref="AU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проекта'!AU$1)/(1+IFERROR(_xlfn.XLOOKUP($A21,Таблица1[[Специалист]:[Специалист]],Таблица1[[Ставка НДС]:[Ставка НДС]]),0))</f>
        <v>0</v>
      </c>
      <c r="AV21" s="70" cm="1">
        <f t="array" ref="AV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проекта'!AV$1)/(1+IFERROR(_xlfn.XLOOKUP($A21,Таблица1[[Специалист]:[Специалист]],Таблица1[[Ставка НДС]:[Ставка НДС]]),0))</f>
        <v>0</v>
      </c>
      <c r="AW21" s="70" cm="1">
        <f t="array" ref="AW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проекта'!AW$1)/(1+IFERROR(_xlfn.XLOOKUP($A21,Таблица1[[Специалист]:[Специалист]],Таблица1[[Ставка НДС]:[Ставка НДС]]),0))</f>
        <v>0</v>
      </c>
      <c r="AX21" s="70" cm="1">
        <f t="array" ref="AX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проекта'!AX$1)/(1+IFERROR(_xlfn.XLOOKUP($A21,Таблица1[[Специалист]:[Специалист]],Таблица1[[Ставка НДС]:[Ставка НДС]]),0))</f>
        <v>0</v>
      </c>
      <c r="AY21" s="70" cm="1">
        <f t="array" ref="AY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проекта'!AY$1)/(1+IFERROR(_xlfn.XLOOKUP($A21,Таблица1[[Специалист]:[Специалист]],Таблица1[[Ставка НДС]:[Ставка НДС]]),0))</f>
        <v>0</v>
      </c>
      <c r="AZ21" s="70" cm="1">
        <f t="array" ref="AZ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проекта'!AZ$1)/(1+IFERROR(_xlfn.XLOOKUP($A21,Таблица1[[Специалист]:[Специалист]],Таблица1[[Ставка НДС]:[Ставка НДС]]),0))</f>
        <v>0</v>
      </c>
      <c r="BA21" s="70" cm="1">
        <f t="array" ref="BA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проекта'!BA$1)/(1+IFERROR(_xlfn.XLOOKUP($A21,Таблица1[[Специалист]:[Специалист]],Таблица1[[Ставка НДС]:[Ставка НДС]]),0))</f>
        <v>0</v>
      </c>
      <c r="BB21" s="70" cm="1">
        <f t="array" ref="BB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проекта'!BB$1)/(1+IFERROR(_xlfn.XLOOKUP($A21,Таблица1[[Специалист]:[Специалист]],Таблица1[[Ставка НДС]:[Ставка НДС]]),0))</f>
        <v>0</v>
      </c>
      <c r="BC21" s="70" cm="1">
        <f t="array" ref="BC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проекта'!BC$1)/(1+IFERROR(_xlfn.XLOOKUP($A21,Таблица1[[Специалист]:[Специалист]],Таблица1[[Ставка НДС]:[Ставка НДС]]),0))</f>
        <v>0</v>
      </c>
      <c r="BD21" s="70" cm="1">
        <f t="array" ref="BD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проекта'!BD$1)/(1+IFERROR(_xlfn.XLOOKUP($A21,Таблица1[[Специалист]:[Специалист]],Таблица1[[Ставка НДС]:[Ставка НДС]]),0))</f>
        <v>0</v>
      </c>
      <c r="BE21" s="70" cm="1">
        <f t="array" ref="BE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проекта'!BE$1)/(1+IFERROR(_xlfn.XLOOKUP($A21,Таблица1[[Специалист]:[Специалист]],Таблица1[[Ставка НДС]:[Ставка НДС]]),0))</f>
        <v>0</v>
      </c>
      <c r="BF21" s="70" cm="1">
        <f t="array" ref="BF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проекта'!BF$1)/(1+IFERROR(_xlfn.XLOOKUP($A21,Таблица1[[Специалист]:[Специалист]],Таблица1[[Ставка НДС]:[Ставка НДС]]),0))</f>
        <v>0</v>
      </c>
      <c r="BG21" s="70" cm="1">
        <f t="array" ref="BG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проекта'!BG$1)/(1+IFERROR(_xlfn.XLOOKUP($A21,Таблица1[[Специалист]:[Специалист]],Таблица1[[Ставка НДС]:[Ставка НДС]]),0))</f>
        <v>0</v>
      </c>
      <c r="BH21" s="70" cm="1">
        <f t="array" ref="BH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проекта'!BH$1)/(1+IFERROR(_xlfn.XLOOKUP($A21,Таблица1[[Специалист]:[Специалист]],Таблица1[[Ставка НДС]:[Ставка НДС]]),0))</f>
        <v>0</v>
      </c>
      <c r="BI21" s="70" cm="1">
        <f t="array" ref="BI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проекта'!BI$1)/(1+IFERROR(_xlfn.XLOOKUP($A21,Таблица1[[Специалист]:[Специалист]],Таблица1[[Ставка НДС]:[Ставка НДС]]),0))</f>
        <v>0</v>
      </c>
      <c r="BJ21" s="70" cm="1">
        <f t="array" ref="BJ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проекта'!BJ$1)/(1+IFERROR(_xlfn.XLOOKUP($A21,Таблица1[[Специалист]:[Специалист]],Таблица1[[Ставка НДС]:[Ставка НДС]]),0))</f>
        <v>0</v>
      </c>
      <c r="BK21" s="70" cm="1">
        <f t="array" ref="BK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проекта'!BK$1)/(1+IFERROR(_xlfn.XLOOKUP($A21,Таблица1[[Специалист]:[Специалист]],Таблица1[[Ставка НДС]:[Ставка НДС]]),0))</f>
        <v>0</v>
      </c>
      <c r="BL21" s="70" cm="1">
        <f t="array" ref="BL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проекта'!BL$1)/(1+IFERROR(_xlfn.XLOOKUP($A21,Таблица1[[Специалист]:[Специалист]],Таблица1[[Ставка НДС]:[Ставка НДС]]),0))</f>
        <v>0</v>
      </c>
      <c r="BM21" s="70" cm="1">
        <f t="array" ref="BM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проекта'!BM$1)/(1+IFERROR(_xlfn.XLOOKUP($A21,Таблица1[[Специалист]:[Специалист]],Таблица1[[Ставка НДС]:[Ставка НДС]]),0))</f>
        <v>0</v>
      </c>
      <c r="BN21" s="70" cm="1">
        <f t="array" ref="BN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проекта'!BN$1)/(1+IFERROR(_xlfn.XLOOKUP($A21,Таблица1[[Специалист]:[Специалист]],Таблица1[[Ставка НДС]:[Ставка НДС]]),0))</f>
        <v>0</v>
      </c>
      <c r="BO21" s="70" cm="1">
        <f t="array" ref="BO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проекта'!BO$1)/(1+IFERROR(_xlfn.XLOOKUP($A21,Таблица1[[Специалист]:[Специалист]],Таблица1[[Ставка НДС]:[Ставка НДС]]),0))</f>
        <v>0</v>
      </c>
      <c r="BP21" s="70" cm="1">
        <f t="array" ref="BP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проекта'!BP$1)/(1+IFERROR(_xlfn.XLOOKUP($A21,Таблица1[[Специалист]:[Специалист]],Таблица1[[Ставка НДС]:[Ставка НДС]]),0))</f>
        <v>0</v>
      </c>
      <c r="BQ21" s="70" cm="1">
        <f t="array" ref="BQ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проекта'!BQ$1)/(1+IFERROR(_xlfn.XLOOKUP($A21,Таблица1[[Специалист]:[Специалист]],Таблица1[[Ставка НДС]:[Ставка НДС]]),0))</f>
        <v>0</v>
      </c>
      <c r="BR21" s="70" cm="1">
        <f t="array" ref="BR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проекта'!BR$1)/(1+IFERROR(_xlfn.XLOOKUP($A21,Таблица1[[Специалист]:[Специалист]],Таблица1[[Ставка НДС]:[Ставка НДС]]),0))</f>
        <v>0</v>
      </c>
      <c r="BS21" s="70" cm="1">
        <f t="array" ref="BS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проекта'!BS$1)/(1+IFERROR(_xlfn.XLOOKUP($A21,Таблица1[[Специалист]:[Специалист]],Таблица1[[Ставка НДС]:[Ставка НДС]]),0))</f>
        <v>0</v>
      </c>
      <c r="BT21" s="70" cm="1">
        <f t="array" ref="BT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проекта'!BT$1)/(1+IFERROR(_xlfn.XLOOKUP($A21,Таблица1[[Специалист]:[Специалист]],Таблица1[[Ставка НДС]:[Ставка НДС]]),0))</f>
        <v>0</v>
      </c>
      <c r="BU21" s="70" cm="1">
        <f t="array" ref="BU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проекта'!BU$1)/(1+IFERROR(_xlfn.XLOOKUP($A21,Таблица1[[Специалист]:[Специалист]],Таблица1[[Ставка НДС]:[Ставка НДС]]),0))</f>
        <v>0</v>
      </c>
      <c r="BV21" s="70" cm="1">
        <f t="array" ref="BV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проекта'!BV$1)/(1+IFERROR(_xlfn.XLOOKUP($A21,Таблица1[[Специалист]:[Специалист]],Таблица1[[Ставка НДС]:[Ставка НДС]]),0))</f>
        <v>0</v>
      </c>
      <c r="BW21" s="70" cm="1">
        <f t="array" ref="BW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проекта'!BW$1)/(1+IFERROR(_xlfn.XLOOKUP($A21,Таблица1[[Специалист]:[Специалист]],Таблица1[[Ставка НДС]:[Ставка НДС]]),0))</f>
        <v>0</v>
      </c>
      <c r="BX21" s="70" cm="1">
        <f t="array" ref="BX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проекта'!BX$1)/(1+IFERROR(_xlfn.XLOOKUP($A21,Таблица1[[Специалист]:[Специалист]],Таблица1[[Ставка НДС]:[Ставка НДС]]),0))</f>
        <v>0</v>
      </c>
      <c r="BY21" s="70" cm="1">
        <f t="array" ref="BY21">SUMIFS(Таблица1[[Итого со страховыми]:[Итого со страховыми]],Таблица1[[Специалист]:[Специалист]],'шаблон расчета проекта'!$A21,Таблица1[[Прогнозный месяц подписания Акта]:[Прогнозный месяц подписания Акта]],'шаблон расчета проекта'!BY$1)/(1+IFERROR(_xlfn.XLOOKUP($A21,Таблица1[[Специалист]:[Специалист]],Таблица1[[Ставка НДС]:[Ставка НДС]]),0))</f>
        <v>0</v>
      </c>
      <c r="BZ21" s="71">
        <f t="shared" si="5"/>
        <v>997259</v>
      </c>
      <c r="CA21" s="51"/>
    </row>
    <row r="22" spans="1:79" x14ac:dyDescent="0.3">
      <c r="A22" s="54" t="str">
        <f t="shared" si="4"/>
        <v>Карпов Алексей</v>
      </c>
      <c r="B22" s="68" t="str">
        <f t="shared" si="4"/>
        <v>СМЗ</v>
      </c>
      <c r="C22" s="69">
        <f t="shared" si="4"/>
        <v>0</v>
      </c>
      <c r="D22" s="57">
        <f t="shared" si="4"/>
        <v>0</v>
      </c>
      <c r="E22" s="58">
        <f t="shared" si="4"/>
        <v>3600</v>
      </c>
      <c r="F22" s="70" cm="1">
        <f t="array" ref="F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проекта'!F$1)/(1+IFERROR(_xlfn.XLOOKUP($A22,Таблица1[[Специалист]:[Специалист]],Таблица1[[Ставка НДС]:[Ставка НДС]]),0))</f>
        <v>0</v>
      </c>
      <c r="G22" s="70" cm="1">
        <f t="array" ref="G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проекта'!G$1)/(1+IFERROR(_xlfn.XLOOKUP($A22,Таблица1[[Специалист]:[Специалист]],Таблица1[[Ставка НДС]:[Ставка НДС]]),0))</f>
        <v>0</v>
      </c>
      <c r="H22" s="70" cm="1">
        <f t="array" ref="H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проекта'!H$1)/(1+IFERROR(_xlfn.XLOOKUP($A22,Таблица1[[Специалист]:[Специалист]],Таблица1[[Ставка НДС]:[Ставка НДС]]),0))</f>
        <v>0</v>
      </c>
      <c r="I22" s="70" cm="1">
        <f t="array" ref="I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проекта'!I$1)/(1+IFERROR(_xlfn.XLOOKUP($A22,Таблица1[[Специалист]:[Специалист]],Таблица1[[Ставка НДС]:[Ставка НДС]]),0))</f>
        <v>0</v>
      </c>
      <c r="J22" s="70" cm="1">
        <f t="array" ref="J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проекта'!J$1)/(1+IFERROR(_xlfn.XLOOKUP($A22,Таблица1[[Специалист]:[Специалист]],Таблица1[[Ставка НДС]:[Ставка НДС]]),0))</f>
        <v>0</v>
      </c>
      <c r="K22" s="70" cm="1">
        <f t="array" ref="K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проекта'!K$1)/(1+IFERROR(_xlfn.XLOOKUP($A22,Таблица1[[Специалист]:[Специалист]],Таблица1[[Ставка НДС]:[Ставка НДС]]),0))</f>
        <v>0</v>
      </c>
      <c r="L22" s="70" cm="1">
        <f t="array" ref="L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проекта'!L$1)/(1+IFERROR(_xlfn.XLOOKUP($A22,Таблица1[[Специалист]:[Специалист]],Таблица1[[Ставка НДС]:[Ставка НДС]]),0))</f>
        <v>0</v>
      </c>
      <c r="M22" s="70" cm="1">
        <f t="array" ref="M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проекта'!M$1)/(1+IFERROR(_xlfn.XLOOKUP($A22,Таблица1[[Специалист]:[Специалист]],Таблица1[[Ставка НДС]:[Ставка НДС]]),0))</f>
        <v>0</v>
      </c>
      <c r="N22" s="70" cm="1">
        <f t="array" ref="N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проекта'!N$1)/(1+IFERROR(_xlfn.XLOOKUP($A22,Таблица1[[Специалист]:[Специалист]],Таблица1[[Ставка НДС]:[Ставка НДС]]),0))</f>
        <v>0</v>
      </c>
      <c r="O22" s="70" cm="1">
        <f t="array" ref="O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проекта'!O$1)/(1+IFERROR(_xlfn.XLOOKUP($A22,Таблица1[[Специалист]:[Специалист]],Таблица1[[Ставка НДС]:[Ставка НДС]]),0))</f>
        <v>0</v>
      </c>
      <c r="P22" s="70" cm="1">
        <f t="array" ref="P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проекта'!P$1)/(1+IFERROR(_xlfn.XLOOKUP($A22,Таблица1[[Специалист]:[Специалист]],Таблица1[[Ставка НДС]:[Ставка НДС]]),0))</f>
        <v>0</v>
      </c>
      <c r="Q22" s="70" cm="1">
        <f t="array" ref="Q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проекта'!Q$1)/(1+IFERROR(_xlfn.XLOOKUP($A22,Таблица1[[Специалист]:[Специалист]],Таблица1[[Ставка НДС]:[Ставка НДС]]),0))</f>
        <v>0</v>
      </c>
      <c r="R22" s="70" cm="1">
        <f t="array" ref="R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проекта'!R$1)/(1+IFERROR(_xlfn.XLOOKUP($A22,Таблица1[[Специалист]:[Специалист]],Таблица1[[Ставка НДС]:[Ставка НДС]]),0))</f>
        <v>0</v>
      </c>
      <c r="S22" s="70" cm="1">
        <f t="array" ref="S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проекта'!S$1)/(1+IFERROR(_xlfn.XLOOKUP($A22,Таблица1[[Специалист]:[Специалист]],Таблица1[[Ставка НДС]:[Ставка НДС]]),0))</f>
        <v>0</v>
      </c>
      <c r="T22" s="70" cm="1">
        <f t="array" ref="T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проекта'!T$1)/(1+IFERROR(_xlfn.XLOOKUP($A22,Таблица1[[Специалист]:[Специалист]],Таблица1[[Ставка НДС]:[Ставка НДС]]),0))</f>
        <v>0</v>
      </c>
      <c r="U22" s="70" cm="1">
        <f t="array" ref="U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проекта'!U$1)/(1+IFERROR(_xlfn.XLOOKUP($A22,Таблица1[[Специалист]:[Специалист]],Таблица1[[Ставка НДС]:[Ставка НДС]]),0))</f>
        <v>0</v>
      </c>
      <c r="V22" s="70" cm="1">
        <f t="array" ref="V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проекта'!V$1)/(1+IFERROR(_xlfn.XLOOKUP($A22,Таблица1[[Специалист]:[Специалист]],Таблица1[[Ставка НДС]:[Ставка НДС]]),0))</f>
        <v>0</v>
      </c>
      <c r="W22" s="70" cm="1">
        <f t="array" ref="W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проекта'!W$1)/(1+IFERROR(_xlfn.XLOOKUP($A22,Таблица1[[Специалист]:[Специалист]],Таблица1[[Ставка НДС]:[Ставка НДС]]),0))</f>
        <v>0</v>
      </c>
      <c r="X22" s="70" cm="1">
        <f t="array" ref="X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проекта'!X$1)/(1+IFERROR(_xlfn.XLOOKUP($A22,Таблица1[[Специалист]:[Специалист]],Таблица1[[Ставка НДС]:[Ставка НДС]]),0))</f>
        <v>0</v>
      </c>
      <c r="Y22" s="70" cm="1">
        <f t="array" ref="Y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проекта'!Y$1)/(1+IFERROR(_xlfn.XLOOKUP($A22,Таблица1[[Специалист]:[Специалист]],Таблица1[[Ставка НДС]:[Ставка НДС]]),0))</f>
        <v>0</v>
      </c>
      <c r="Z22" s="70" cm="1">
        <f t="array" ref="Z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проекта'!Z$1)/(1+IFERROR(_xlfn.XLOOKUP($A22,Таблица1[[Специалист]:[Специалист]],Таблица1[[Ставка НДС]:[Ставка НДС]]),0))</f>
        <v>0</v>
      </c>
      <c r="AA22" s="70" cm="1">
        <f t="array" ref="AA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проекта'!AA$1)/(1+IFERROR(_xlfn.XLOOKUP($A22,Таблица1[[Специалист]:[Специалист]],Таблица1[[Ставка НДС]:[Ставка НДС]]),0))</f>
        <v>0</v>
      </c>
      <c r="AB22" s="70" cm="1">
        <f t="array" ref="AB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проекта'!AB$1)/(1+IFERROR(_xlfn.XLOOKUP($A22,Таблица1[[Специалист]:[Специалист]],Таблица1[[Ставка НДС]:[Ставка НДС]]),0))</f>
        <v>0</v>
      </c>
      <c r="AC22" s="70" cm="1">
        <f t="array" ref="AC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проекта'!AC$1)/(1+IFERROR(_xlfn.XLOOKUP($A22,Таблица1[[Специалист]:[Специалист]],Таблица1[[Ставка НДС]:[Ставка НДС]]),0))</f>
        <v>0</v>
      </c>
      <c r="AD22" s="70" cm="1">
        <f t="array" ref="AD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проекта'!AD$1)/(1+IFERROR(_xlfn.XLOOKUP($A22,Таблица1[[Специалист]:[Специалист]],Таблица1[[Ставка НДС]:[Ставка НДС]]),0))</f>
        <v>0</v>
      </c>
      <c r="AE22" s="70" cm="1">
        <f t="array" ref="AE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проекта'!AE$1)/(1+IFERROR(_xlfn.XLOOKUP($A22,Таблица1[[Специалист]:[Специалист]],Таблица1[[Ставка НДС]:[Ставка НДС]]),0))</f>
        <v>0</v>
      </c>
      <c r="AF22" s="70" cm="1">
        <f t="array" ref="AF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проекта'!AF$1)/(1+IFERROR(_xlfn.XLOOKUP($A22,Таблица1[[Специалист]:[Специалист]],Таблица1[[Ставка НДС]:[Ставка НДС]]),0))</f>
        <v>0</v>
      </c>
      <c r="AG22" s="70" cm="1">
        <f t="array" ref="AG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проекта'!AG$1)/(1+IFERROR(_xlfn.XLOOKUP($A22,Таблица1[[Специалист]:[Специалист]],Таблица1[[Ставка НДС]:[Ставка НДС]]),0))</f>
        <v>0</v>
      </c>
      <c r="AH22" s="70" cm="1">
        <f t="array" ref="AH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проекта'!AH$1)/(1+IFERROR(_xlfn.XLOOKUP($A22,Таблица1[[Специалист]:[Специалист]],Таблица1[[Ставка НДС]:[Ставка НДС]]),0))</f>
        <v>0</v>
      </c>
      <c r="AI22" s="70" cm="1">
        <f t="array" ref="AI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проекта'!AI$1)/(1+IFERROR(_xlfn.XLOOKUP($A22,Таблица1[[Специалист]:[Специалист]],Таблица1[[Ставка НДС]:[Ставка НДС]]),0))</f>
        <v>0</v>
      </c>
      <c r="AJ22" s="70" cm="1">
        <f t="array" ref="AJ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проекта'!AJ$1)/(1+IFERROR(_xlfn.XLOOKUP($A22,Таблица1[[Специалист]:[Специалист]],Таблица1[[Ставка НДС]:[Ставка НДС]]),0))</f>
        <v>388800</v>
      </c>
      <c r="AK22" s="70" cm="1">
        <f t="array" ref="AK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проекта'!AK$1)/(1+IFERROR(_xlfn.XLOOKUP($A22,Таблица1[[Специалист]:[Специалист]],Таблица1[[Ставка НДС]:[Ставка НДС]]),0))</f>
        <v>0</v>
      </c>
      <c r="AL22" s="70" cm="1">
        <f t="array" ref="AL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проекта'!AL$1)/(1+IFERROR(_xlfn.XLOOKUP($A22,Таблица1[[Специалист]:[Специалист]],Таблица1[[Ставка НДС]:[Ставка НДС]]),0))</f>
        <v>0</v>
      </c>
      <c r="AM22" s="70" cm="1">
        <f t="array" ref="AM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проекта'!AM$1)/(1+IFERROR(_xlfn.XLOOKUP($A22,Таблица1[[Специалист]:[Специалист]],Таблица1[[Ставка НДС]:[Ставка НДС]]),0))</f>
        <v>302400</v>
      </c>
      <c r="AN22" s="70" cm="1">
        <f t="array" ref="AN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проекта'!AN$1)/(1+IFERROR(_xlfn.XLOOKUP($A22,Таблица1[[Специалист]:[Специалист]],Таблица1[[Ставка НДС]:[Ставка НДС]]),0))</f>
        <v>0</v>
      </c>
      <c r="AO22" s="70" cm="1">
        <f t="array" ref="AO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проекта'!AO$1)/(1+IFERROR(_xlfn.XLOOKUP($A22,Таблица1[[Специалист]:[Специалист]],Таблица1[[Ставка НДС]:[Ставка НДС]]),0))</f>
        <v>0</v>
      </c>
      <c r="AP22" s="70" cm="1">
        <f t="array" ref="AP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проекта'!AP$1)/(1+IFERROR(_xlfn.XLOOKUP($A22,Таблица1[[Специалист]:[Специалист]],Таблица1[[Ставка НДС]:[Ставка НДС]]),0))</f>
        <v>0</v>
      </c>
      <c r="AQ22" s="70" cm="1">
        <f t="array" ref="AQ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проекта'!AQ$1)/(1+IFERROR(_xlfn.XLOOKUP($A22,Таблица1[[Специалист]:[Специалист]],Таблица1[[Ставка НДС]:[Ставка НДС]]),0))</f>
        <v>0</v>
      </c>
      <c r="AR22" s="70" cm="1">
        <f t="array" ref="AR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проекта'!AR$1)/(1+IFERROR(_xlfn.XLOOKUP($A22,Таблица1[[Специалист]:[Специалист]],Таблица1[[Ставка НДС]:[Ставка НДС]]),0))</f>
        <v>0</v>
      </c>
      <c r="AS22" s="70" cm="1">
        <f t="array" ref="AS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проекта'!AS$1)/(1+IFERROR(_xlfn.XLOOKUP($A22,Таблица1[[Специалист]:[Специалист]],Таблица1[[Ставка НДС]:[Ставка НДС]]),0))</f>
        <v>0</v>
      </c>
      <c r="AT22" s="70" cm="1">
        <f t="array" ref="AT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проекта'!AT$1)/(1+IFERROR(_xlfn.XLOOKUP($A22,Таблица1[[Специалист]:[Специалист]],Таблица1[[Ставка НДС]:[Ставка НДС]]),0))</f>
        <v>0</v>
      </c>
      <c r="AU22" s="70" cm="1">
        <f t="array" ref="AU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проекта'!AU$1)/(1+IFERROR(_xlfn.XLOOKUP($A22,Таблица1[[Специалист]:[Специалист]],Таблица1[[Ставка НДС]:[Ставка НДС]]),0))</f>
        <v>0</v>
      </c>
      <c r="AV22" s="70" cm="1">
        <f t="array" ref="AV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проекта'!AV$1)/(1+IFERROR(_xlfn.XLOOKUP($A22,Таблица1[[Специалист]:[Специалист]],Таблица1[[Ставка НДС]:[Ставка НДС]]),0))</f>
        <v>0</v>
      </c>
      <c r="AW22" s="70" cm="1">
        <f t="array" ref="AW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проекта'!AW$1)/(1+IFERROR(_xlfn.XLOOKUP($A22,Таблица1[[Специалист]:[Специалист]],Таблица1[[Ставка НДС]:[Ставка НДС]]),0))</f>
        <v>0</v>
      </c>
      <c r="AX22" s="70" cm="1">
        <f t="array" ref="AX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проекта'!AX$1)/(1+IFERROR(_xlfn.XLOOKUP($A22,Таблица1[[Специалист]:[Специалист]],Таблица1[[Ставка НДС]:[Ставка НДС]]),0))</f>
        <v>0</v>
      </c>
      <c r="AY22" s="70" cm="1">
        <f t="array" ref="AY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проекта'!AY$1)/(1+IFERROR(_xlfn.XLOOKUP($A22,Таблица1[[Специалист]:[Специалист]],Таблица1[[Ставка НДС]:[Ставка НДС]]),0))</f>
        <v>0</v>
      </c>
      <c r="AZ22" s="70" cm="1">
        <f t="array" ref="AZ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проекта'!AZ$1)/(1+IFERROR(_xlfn.XLOOKUP($A22,Таблица1[[Специалист]:[Специалист]],Таблица1[[Ставка НДС]:[Ставка НДС]]),0))</f>
        <v>0</v>
      </c>
      <c r="BA22" s="70" cm="1">
        <f t="array" ref="BA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проекта'!BA$1)/(1+IFERROR(_xlfn.XLOOKUP($A22,Таблица1[[Специалист]:[Специалист]],Таблица1[[Ставка НДС]:[Ставка НДС]]),0))</f>
        <v>0</v>
      </c>
      <c r="BB22" s="70" cm="1">
        <f t="array" ref="BB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проекта'!BB$1)/(1+IFERROR(_xlfn.XLOOKUP($A22,Таблица1[[Специалист]:[Специалист]],Таблица1[[Ставка НДС]:[Ставка НДС]]),0))</f>
        <v>0</v>
      </c>
      <c r="BC22" s="70" cm="1">
        <f t="array" ref="BC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проекта'!BC$1)/(1+IFERROR(_xlfn.XLOOKUP($A22,Таблица1[[Специалист]:[Специалист]],Таблица1[[Ставка НДС]:[Ставка НДС]]),0))</f>
        <v>0</v>
      </c>
      <c r="BD22" s="70" cm="1">
        <f t="array" ref="BD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проекта'!BD$1)/(1+IFERROR(_xlfn.XLOOKUP($A22,Таблица1[[Специалист]:[Специалист]],Таблица1[[Ставка НДС]:[Ставка НДС]]),0))</f>
        <v>0</v>
      </c>
      <c r="BE22" s="70" cm="1">
        <f t="array" ref="BE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проекта'!BE$1)/(1+IFERROR(_xlfn.XLOOKUP($A22,Таблица1[[Специалист]:[Специалист]],Таблица1[[Ставка НДС]:[Ставка НДС]]),0))</f>
        <v>0</v>
      </c>
      <c r="BF22" s="70" cm="1">
        <f t="array" ref="BF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проекта'!BF$1)/(1+IFERROR(_xlfn.XLOOKUP($A22,Таблица1[[Специалист]:[Специалист]],Таблица1[[Ставка НДС]:[Ставка НДС]]),0))</f>
        <v>0</v>
      </c>
      <c r="BG22" s="70" cm="1">
        <f t="array" ref="BG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проекта'!BG$1)/(1+IFERROR(_xlfn.XLOOKUP($A22,Таблица1[[Специалист]:[Специалист]],Таблица1[[Ставка НДС]:[Ставка НДС]]),0))</f>
        <v>0</v>
      </c>
      <c r="BH22" s="70" cm="1">
        <f t="array" ref="BH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проекта'!BH$1)/(1+IFERROR(_xlfn.XLOOKUP($A22,Таблица1[[Специалист]:[Специалист]],Таблица1[[Ставка НДС]:[Ставка НДС]]),0))</f>
        <v>0</v>
      </c>
      <c r="BI22" s="70" cm="1">
        <f t="array" ref="BI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проекта'!BI$1)/(1+IFERROR(_xlfn.XLOOKUP($A22,Таблица1[[Специалист]:[Специалист]],Таблица1[[Ставка НДС]:[Ставка НДС]]),0))</f>
        <v>0</v>
      </c>
      <c r="BJ22" s="70" cm="1">
        <f t="array" ref="BJ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проекта'!BJ$1)/(1+IFERROR(_xlfn.XLOOKUP($A22,Таблица1[[Специалист]:[Специалист]],Таблица1[[Ставка НДС]:[Ставка НДС]]),0))</f>
        <v>0</v>
      </c>
      <c r="BK22" s="70" cm="1">
        <f t="array" ref="BK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проекта'!BK$1)/(1+IFERROR(_xlfn.XLOOKUP($A22,Таблица1[[Специалист]:[Специалист]],Таблица1[[Ставка НДС]:[Ставка НДС]]),0))</f>
        <v>0</v>
      </c>
      <c r="BL22" s="70" cm="1">
        <f t="array" ref="BL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проекта'!BL$1)/(1+IFERROR(_xlfn.XLOOKUP($A22,Таблица1[[Специалист]:[Специалист]],Таблица1[[Ставка НДС]:[Ставка НДС]]),0))</f>
        <v>0</v>
      </c>
      <c r="BM22" s="70" cm="1">
        <f t="array" ref="BM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проекта'!BM$1)/(1+IFERROR(_xlfn.XLOOKUP($A22,Таблица1[[Специалист]:[Специалист]],Таблица1[[Ставка НДС]:[Ставка НДС]]),0))</f>
        <v>0</v>
      </c>
      <c r="BN22" s="70" cm="1">
        <f t="array" ref="BN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проекта'!BN$1)/(1+IFERROR(_xlfn.XLOOKUP($A22,Таблица1[[Специалист]:[Специалист]],Таблица1[[Ставка НДС]:[Ставка НДС]]),0))</f>
        <v>0</v>
      </c>
      <c r="BO22" s="70" cm="1">
        <f t="array" ref="BO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проекта'!BO$1)/(1+IFERROR(_xlfn.XLOOKUP($A22,Таблица1[[Специалист]:[Специалист]],Таблица1[[Ставка НДС]:[Ставка НДС]]),0))</f>
        <v>0</v>
      </c>
      <c r="BP22" s="70" cm="1">
        <f t="array" ref="BP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проекта'!BP$1)/(1+IFERROR(_xlfn.XLOOKUP($A22,Таблица1[[Специалист]:[Специалист]],Таблица1[[Ставка НДС]:[Ставка НДС]]),0))</f>
        <v>0</v>
      </c>
      <c r="BQ22" s="70" cm="1">
        <f t="array" ref="BQ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проекта'!BQ$1)/(1+IFERROR(_xlfn.XLOOKUP($A22,Таблица1[[Специалист]:[Специалист]],Таблица1[[Ставка НДС]:[Ставка НДС]]),0))</f>
        <v>0</v>
      </c>
      <c r="BR22" s="70" cm="1">
        <f t="array" ref="BR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проекта'!BR$1)/(1+IFERROR(_xlfn.XLOOKUP($A22,Таблица1[[Специалист]:[Специалист]],Таблица1[[Ставка НДС]:[Ставка НДС]]),0))</f>
        <v>0</v>
      </c>
      <c r="BS22" s="70" cm="1">
        <f t="array" ref="BS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проекта'!BS$1)/(1+IFERROR(_xlfn.XLOOKUP($A22,Таблица1[[Специалист]:[Специалист]],Таблица1[[Ставка НДС]:[Ставка НДС]]),0))</f>
        <v>0</v>
      </c>
      <c r="BT22" s="70" cm="1">
        <f t="array" ref="BT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проекта'!BT$1)/(1+IFERROR(_xlfn.XLOOKUP($A22,Таблица1[[Специалист]:[Специалист]],Таблица1[[Ставка НДС]:[Ставка НДС]]),0))</f>
        <v>0</v>
      </c>
      <c r="BU22" s="70" cm="1">
        <f t="array" ref="BU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проекта'!BU$1)/(1+IFERROR(_xlfn.XLOOKUP($A22,Таблица1[[Специалист]:[Специалист]],Таблица1[[Ставка НДС]:[Ставка НДС]]),0))</f>
        <v>0</v>
      </c>
      <c r="BV22" s="70" cm="1">
        <f t="array" ref="BV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проекта'!BV$1)/(1+IFERROR(_xlfn.XLOOKUP($A22,Таблица1[[Специалист]:[Специалист]],Таблица1[[Ставка НДС]:[Ставка НДС]]),0))</f>
        <v>0</v>
      </c>
      <c r="BW22" s="70" cm="1">
        <f t="array" ref="BW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проекта'!BW$1)/(1+IFERROR(_xlfn.XLOOKUP($A22,Таблица1[[Специалист]:[Специалист]],Таблица1[[Ставка НДС]:[Ставка НДС]]),0))</f>
        <v>0</v>
      </c>
      <c r="BX22" s="70" cm="1">
        <f t="array" ref="BX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проекта'!BX$1)/(1+IFERROR(_xlfn.XLOOKUP($A22,Таблица1[[Специалист]:[Специалист]],Таблица1[[Ставка НДС]:[Ставка НДС]]),0))</f>
        <v>0</v>
      </c>
      <c r="BY22" s="70" cm="1">
        <f t="array" ref="BY22">SUMIFS(Таблица1[[Итого со страховыми]:[Итого со страховыми]],Таблица1[[Специалист]:[Специалист]],'шаблон расчета проекта'!$A22,Таблица1[[Прогнозный месяц подписания Акта]:[Прогнозный месяц подписания Акта]],'шаблон расчета проекта'!BY$1)/(1+IFERROR(_xlfn.XLOOKUP($A22,Таблица1[[Специалист]:[Специалист]],Таблица1[[Ставка НДС]:[Ставка НДС]]),0))</f>
        <v>0</v>
      </c>
      <c r="BZ22" s="71">
        <f t="shared" si="5"/>
        <v>691200</v>
      </c>
      <c r="CA22" s="51"/>
    </row>
    <row r="23" spans="1:79" x14ac:dyDescent="0.3">
      <c r="A23" s="54" t="str">
        <f t="shared" si="4"/>
        <v>Черепанов Валерий</v>
      </c>
      <c r="B23" s="68" t="str">
        <f t="shared" si="4"/>
        <v>СМЗ</v>
      </c>
      <c r="C23" s="69">
        <f t="shared" si="4"/>
        <v>0</v>
      </c>
      <c r="D23" s="57">
        <f t="shared" si="4"/>
        <v>0</v>
      </c>
      <c r="E23" s="58">
        <f t="shared" si="4"/>
        <v>3130</v>
      </c>
      <c r="F23" s="70" cm="1">
        <f t="array" ref="F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проекта'!F$1)/(1+IFERROR(_xlfn.XLOOKUP($A23,Таблица1[[Специалист]:[Специалист]],Таблица1[[Ставка НДС]:[Ставка НДС]]),0))</f>
        <v>0</v>
      </c>
      <c r="G23" s="70" cm="1">
        <f t="array" ref="G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проекта'!G$1)/(1+IFERROR(_xlfn.XLOOKUP($A23,Таблица1[[Специалист]:[Специалист]],Таблица1[[Ставка НДС]:[Ставка НДС]]),0))</f>
        <v>0</v>
      </c>
      <c r="H23" s="70" cm="1">
        <f t="array" ref="H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проекта'!H$1)/(1+IFERROR(_xlfn.XLOOKUP($A23,Таблица1[[Специалист]:[Специалист]],Таблица1[[Ставка НДС]:[Ставка НДС]]),0))</f>
        <v>0</v>
      </c>
      <c r="I23" s="70" cm="1">
        <f t="array" ref="I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проекта'!I$1)/(1+IFERROR(_xlfn.XLOOKUP($A23,Таблица1[[Специалист]:[Специалист]],Таблица1[[Ставка НДС]:[Ставка НДС]]),0))</f>
        <v>0</v>
      </c>
      <c r="J23" s="70" cm="1">
        <f t="array" ref="J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проекта'!J$1)/(1+IFERROR(_xlfn.XLOOKUP($A23,Таблица1[[Специалист]:[Специалист]],Таблица1[[Ставка НДС]:[Ставка НДС]]),0))</f>
        <v>0</v>
      </c>
      <c r="K23" s="70" cm="1">
        <f t="array" ref="K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проекта'!K$1)/(1+IFERROR(_xlfn.XLOOKUP($A23,Таблица1[[Специалист]:[Специалист]],Таблица1[[Ставка НДС]:[Ставка НДС]]),0))</f>
        <v>0</v>
      </c>
      <c r="L23" s="70" cm="1">
        <f t="array" ref="L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проекта'!L$1)/(1+IFERROR(_xlfn.XLOOKUP($A23,Таблица1[[Специалист]:[Специалист]],Таблица1[[Ставка НДС]:[Ставка НДС]]),0))</f>
        <v>0</v>
      </c>
      <c r="M23" s="70" cm="1">
        <f t="array" ref="M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проекта'!M$1)/(1+IFERROR(_xlfn.XLOOKUP($A23,Таблица1[[Специалист]:[Специалист]],Таблица1[[Ставка НДС]:[Ставка НДС]]),0))</f>
        <v>0</v>
      </c>
      <c r="N23" s="70" cm="1">
        <f t="array" ref="N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проекта'!N$1)/(1+IFERROR(_xlfn.XLOOKUP($A23,Таблица1[[Специалист]:[Специалист]],Таблица1[[Ставка НДС]:[Ставка НДС]]),0))</f>
        <v>0</v>
      </c>
      <c r="O23" s="70" cm="1">
        <f t="array" ref="O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проекта'!O$1)/(1+IFERROR(_xlfn.XLOOKUP($A23,Таблица1[[Специалист]:[Специалист]],Таблица1[[Ставка НДС]:[Ставка НДС]]),0))</f>
        <v>0</v>
      </c>
      <c r="P23" s="70" cm="1">
        <f t="array" ref="P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проекта'!P$1)/(1+IFERROR(_xlfn.XLOOKUP($A23,Таблица1[[Специалист]:[Специалист]],Таблица1[[Ставка НДС]:[Ставка НДС]]),0))</f>
        <v>0</v>
      </c>
      <c r="Q23" s="70" cm="1">
        <f t="array" ref="Q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проекта'!Q$1)/(1+IFERROR(_xlfn.XLOOKUP($A23,Таблица1[[Специалист]:[Специалист]],Таблица1[[Ставка НДС]:[Ставка НДС]]),0))</f>
        <v>0</v>
      </c>
      <c r="R23" s="70" cm="1">
        <f t="array" ref="R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проекта'!R$1)/(1+IFERROR(_xlfn.XLOOKUP($A23,Таблица1[[Специалист]:[Специалист]],Таблица1[[Ставка НДС]:[Ставка НДС]]),0))</f>
        <v>0</v>
      </c>
      <c r="S23" s="70" cm="1">
        <f t="array" ref="S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проекта'!S$1)/(1+IFERROR(_xlfn.XLOOKUP($A23,Таблица1[[Специалист]:[Специалист]],Таблица1[[Ставка НДС]:[Ставка НДС]]),0))</f>
        <v>0</v>
      </c>
      <c r="T23" s="70" cm="1">
        <f t="array" ref="T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проекта'!T$1)/(1+IFERROR(_xlfn.XLOOKUP($A23,Таблица1[[Специалист]:[Специалист]],Таблица1[[Ставка НДС]:[Ставка НДС]]),0))</f>
        <v>0</v>
      </c>
      <c r="U23" s="70" cm="1">
        <f t="array" ref="U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проекта'!U$1)/(1+IFERROR(_xlfn.XLOOKUP($A23,Таблица1[[Специалист]:[Специалист]],Таблица1[[Ставка НДС]:[Ставка НДС]]),0))</f>
        <v>0</v>
      </c>
      <c r="V23" s="70" cm="1">
        <f t="array" ref="V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проекта'!V$1)/(1+IFERROR(_xlfn.XLOOKUP($A23,Таблица1[[Специалист]:[Специалист]],Таблица1[[Ставка НДС]:[Ставка НДС]]),0))</f>
        <v>0</v>
      </c>
      <c r="W23" s="70" cm="1">
        <f t="array" ref="W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проекта'!W$1)/(1+IFERROR(_xlfn.XLOOKUP($A23,Таблица1[[Специалист]:[Специалист]],Таблица1[[Ставка НДС]:[Ставка НДС]]),0))</f>
        <v>0</v>
      </c>
      <c r="X23" s="70" cm="1">
        <f t="array" ref="X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проекта'!X$1)/(1+IFERROR(_xlfn.XLOOKUP($A23,Таблица1[[Специалист]:[Специалист]],Таблица1[[Ставка НДС]:[Ставка НДС]]),0))</f>
        <v>0</v>
      </c>
      <c r="Y23" s="70" cm="1">
        <f t="array" ref="Y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проекта'!Y$1)/(1+IFERROR(_xlfn.XLOOKUP($A23,Таблица1[[Специалист]:[Специалист]],Таблица1[[Ставка НДС]:[Ставка НДС]]),0))</f>
        <v>0</v>
      </c>
      <c r="Z23" s="70" cm="1">
        <f t="array" ref="Z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проекта'!Z$1)/(1+IFERROR(_xlfn.XLOOKUP($A23,Таблица1[[Специалист]:[Специалист]],Таблица1[[Ставка НДС]:[Ставка НДС]]),0))</f>
        <v>0</v>
      </c>
      <c r="AA23" s="70" cm="1">
        <f t="array" ref="AA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проекта'!AA$1)/(1+IFERROR(_xlfn.XLOOKUP($A23,Таблица1[[Специалист]:[Специалист]],Таблица1[[Ставка НДС]:[Ставка НДС]]),0))</f>
        <v>0</v>
      </c>
      <c r="AB23" s="70" cm="1">
        <f t="array" ref="AB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проекта'!AB$1)/(1+IFERROR(_xlfn.XLOOKUP($A23,Таблица1[[Специалист]:[Специалист]],Таблица1[[Ставка НДС]:[Ставка НДС]]),0))</f>
        <v>0</v>
      </c>
      <c r="AC23" s="70" cm="1">
        <f t="array" ref="AC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проекта'!AC$1)/(1+IFERROR(_xlfn.XLOOKUP($A23,Таблица1[[Специалист]:[Специалист]],Таблица1[[Ставка НДС]:[Ставка НДС]]),0))</f>
        <v>0</v>
      </c>
      <c r="AD23" s="70" cm="1">
        <f t="array" ref="AD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проекта'!AD$1)/(1+IFERROR(_xlfn.XLOOKUP($A23,Таблица1[[Специалист]:[Специалист]],Таблица1[[Ставка НДС]:[Ставка НДС]]),0))</f>
        <v>0</v>
      </c>
      <c r="AE23" s="70" cm="1">
        <f t="array" ref="AE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проекта'!AE$1)/(1+IFERROR(_xlfn.XLOOKUP($A23,Таблица1[[Специалист]:[Специалист]],Таблица1[[Ставка НДС]:[Ставка НДС]]),0))</f>
        <v>0</v>
      </c>
      <c r="AF23" s="70" cm="1">
        <f t="array" ref="AF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проекта'!AF$1)/(1+IFERROR(_xlfn.XLOOKUP($A23,Таблица1[[Специалист]:[Специалист]],Таблица1[[Ставка НДС]:[Ставка НДС]]),0))</f>
        <v>0</v>
      </c>
      <c r="AG23" s="70" cm="1">
        <f t="array" ref="AG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проекта'!AG$1)/(1+IFERROR(_xlfn.XLOOKUP($A23,Таблица1[[Специалист]:[Специалист]],Таблица1[[Ставка НДС]:[Ставка НДС]]),0))</f>
        <v>0</v>
      </c>
      <c r="AH23" s="70" cm="1">
        <f t="array" ref="AH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проекта'!AH$1)/(1+IFERROR(_xlfn.XLOOKUP($A23,Таблица1[[Специалист]:[Специалист]],Таблица1[[Ставка НДС]:[Ставка НДС]]),0))</f>
        <v>0</v>
      </c>
      <c r="AI23" s="70" cm="1">
        <f t="array" ref="AI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проекта'!AI$1)/(1+IFERROR(_xlfn.XLOOKUP($A23,Таблица1[[Специалист]:[Специалист]],Таблица1[[Ставка НДС]:[Ставка НДС]]),0))</f>
        <v>0</v>
      </c>
      <c r="AJ23" s="70" cm="1">
        <f t="array" ref="AJ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проекта'!AJ$1)/(1+IFERROR(_xlfn.XLOOKUP($A23,Таблица1[[Специалист]:[Специалист]],Таблица1[[Ставка НДС]:[Ставка НДС]]),0))</f>
        <v>525840</v>
      </c>
      <c r="AK23" s="70" cm="1">
        <f t="array" ref="AK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проекта'!AK$1)/(1+IFERROR(_xlfn.XLOOKUP($A23,Таблица1[[Специалист]:[Специалист]],Таблица1[[Ставка НДС]:[Ставка НДС]]),0))</f>
        <v>0</v>
      </c>
      <c r="AL23" s="70" cm="1">
        <f t="array" ref="AL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проекта'!AL$1)/(1+IFERROR(_xlfn.XLOOKUP($A23,Таблица1[[Специалист]:[Специалист]],Таблица1[[Ставка НДС]:[Ставка НДС]]),0))</f>
        <v>0</v>
      </c>
      <c r="AM23" s="70" cm="1">
        <f t="array" ref="AM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проекта'!AM$1)/(1+IFERROR(_xlfn.XLOOKUP($A23,Таблица1[[Специалист]:[Специалист]],Таблица1[[Ставка НДС]:[Ставка НДС]]),0))</f>
        <v>0</v>
      </c>
      <c r="AN23" s="70" cm="1">
        <f t="array" ref="AN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проекта'!AN$1)/(1+IFERROR(_xlfn.XLOOKUP($A23,Таблица1[[Специалист]:[Специалист]],Таблица1[[Ставка НДС]:[Ставка НДС]]),0))</f>
        <v>0</v>
      </c>
      <c r="AO23" s="70" cm="1">
        <f t="array" ref="AO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проекта'!AO$1)/(1+IFERROR(_xlfn.XLOOKUP($A23,Таблица1[[Специалист]:[Специалист]],Таблица1[[Ставка НДС]:[Ставка НДС]]),0))</f>
        <v>0</v>
      </c>
      <c r="AP23" s="70" cm="1">
        <f t="array" ref="AP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проекта'!AP$1)/(1+IFERROR(_xlfn.XLOOKUP($A23,Таблица1[[Специалист]:[Специалист]],Таблица1[[Ставка НДС]:[Ставка НДС]]),0))</f>
        <v>0</v>
      </c>
      <c r="AQ23" s="70" cm="1">
        <f t="array" ref="AQ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проекта'!AQ$1)/(1+IFERROR(_xlfn.XLOOKUP($A23,Таблица1[[Специалист]:[Специалист]],Таблица1[[Ставка НДС]:[Ставка НДС]]),0))</f>
        <v>0</v>
      </c>
      <c r="AR23" s="70" cm="1">
        <f t="array" ref="AR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проекта'!AR$1)/(1+IFERROR(_xlfn.XLOOKUP($A23,Таблица1[[Специалист]:[Специалист]],Таблица1[[Ставка НДС]:[Ставка НДС]]),0))</f>
        <v>0</v>
      </c>
      <c r="AS23" s="70" cm="1">
        <f t="array" ref="AS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проекта'!AS$1)/(1+IFERROR(_xlfn.XLOOKUP($A23,Таблица1[[Специалист]:[Специалист]],Таблица1[[Ставка НДС]:[Ставка НДС]]),0))</f>
        <v>0</v>
      </c>
      <c r="AT23" s="70" cm="1">
        <f t="array" ref="AT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проекта'!AT$1)/(1+IFERROR(_xlfn.XLOOKUP($A23,Таблица1[[Специалист]:[Специалист]],Таблица1[[Ставка НДС]:[Ставка НДС]]),0))</f>
        <v>0</v>
      </c>
      <c r="AU23" s="70" cm="1">
        <f t="array" ref="AU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проекта'!AU$1)/(1+IFERROR(_xlfn.XLOOKUP($A23,Таблица1[[Специалист]:[Специалист]],Таблица1[[Ставка НДС]:[Ставка НДС]]),0))</f>
        <v>0</v>
      </c>
      <c r="AV23" s="70" cm="1">
        <f t="array" ref="AV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проекта'!AV$1)/(1+IFERROR(_xlfn.XLOOKUP($A23,Таблица1[[Специалист]:[Специалист]],Таблица1[[Ставка НДС]:[Ставка НДС]]),0))</f>
        <v>0</v>
      </c>
      <c r="AW23" s="70" cm="1">
        <f t="array" ref="AW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проекта'!AW$1)/(1+IFERROR(_xlfn.XLOOKUP($A23,Таблица1[[Специалист]:[Специалист]],Таблица1[[Ставка НДС]:[Ставка НДС]]),0))</f>
        <v>0</v>
      </c>
      <c r="AX23" s="70" cm="1">
        <f t="array" ref="AX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проекта'!AX$1)/(1+IFERROR(_xlfn.XLOOKUP($A23,Таблица1[[Специалист]:[Специалист]],Таблица1[[Ставка НДС]:[Ставка НДС]]),0))</f>
        <v>0</v>
      </c>
      <c r="AY23" s="70" cm="1">
        <f t="array" ref="AY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проекта'!AY$1)/(1+IFERROR(_xlfn.XLOOKUP($A23,Таблица1[[Специалист]:[Специалист]],Таблица1[[Ставка НДС]:[Ставка НДС]]),0))</f>
        <v>0</v>
      </c>
      <c r="AZ23" s="70" cm="1">
        <f t="array" ref="AZ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проекта'!AZ$1)/(1+IFERROR(_xlfn.XLOOKUP($A23,Таблица1[[Специалист]:[Специалист]],Таблица1[[Ставка НДС]:[Ставка НДС]]),0))</f>
        <v>0</v>
      </c>
      <c r="BA23" s="70" cm="1">
        <f t="array" ref="BA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проекта'!BA$1)/(1+IFERROR(_xlfn.XLOOKUP($A23,Таблица1[[Специалист]:[Специалист]],Таблица1[[Ставка НДС]:[Ставка НДС]]),0))</f>
        <v>0</v>
      </c>
      <c r="BB23" s="70" cm="1">
        <f t="array" ref="BB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проекта'!BB$1)/(1+IFERROR(_xlfn.XLOOKUP($A23,Таблица1[[Специалист]:[Специалист]],Таблица1[[Ставка НДС]:[Ставка НДС]]),0))</f>
        <v>0</v>
      </c>
      <c r="BC23" s="70" cm="1">
        <f t="array" ref="BC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проекта'!BC$1)/(1+IFERROR(_xlfn.XLOOKUP($A23,Таблица1[[Специалист]:[Специалист]],Таблица1[[Ставка НДС]:[Ставка НДС]]),0))</f>
        <v>0</v>
      </c>
      <c r="BD23" s="70" cm="1">
        <f t="array" ref="BD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проекта'!BD$1)/(1+IFERROR(_xlfn.XLOOKUP($A23,Таблица1[[Специалист]:[Специалист]],Таблица1[[Ставка НДС]:[Ставка НДС]]),0))</f>
        <v>0</v>
      </c>
      <c r="BE23" s="70" cm="1">
        <f t="array" ref="BE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проекта'!BE$1)/(1+IFERROR(_xlfn.XLOOKUP($A23,Таблица1[[Специалист]:[Специалист]],Таблица1[[Ставка НДС]:[Ставка НДС]]),0))</f>
        <v>0</v>
      </c>
      <c r="BF23" s="70" cm="1">
        <f t="array" ref="BF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проекта'!BF$1)/(1+IFERROR(_xlfn.XLOOKUP($A23,Таблица1[[Специалист]:[Специалист]],Таблица1[[Ставка НДС]:[Ставка НДС]]),0))</f>
        <v>0</v>
      </c>
      <c r="BG23" s="70" cm="1">
        <f t="array" ref="BG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проекта'!BG$1)/(1+IFERROR(_xlfn.XLOOKUP($A23,Таблица1[[Специалист]:[Специалист]],Таблица1[[Ставка НДС]:[Ставка НДС]]),0))</f>
        <v>0</v>
      </c>
      <c r="BH23" s="70" cm="1">
        <f t="array" ref="BH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проекта'!BH$1)/(1+IFERROR(_xlfn.XLOOKUP($A23,Таблица1[[Специалист]:[Специалист]],Таблица1[[Ставка НДС]:[Ставка НДС]]),0))</f>
        <v>0</v>
      </c>
      <c r="BI23" s="70" cm="1">
        <f t="array" ref="BI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проекта'!BI$1)/(1+IFERROR(_xlfn.XLOOKUP($A23,Таблица1[[Специалист]:[Специалист]],Таблица1[[Ставка НДС]:[Ставка НДС]]),0))</f>
        <v>0</v>
      </c>
      <c r="BJ23" s="70" cm="1">
        <f t="array" ref="BJ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проекта'!BJ$1)/(1+IFERROR(_xlfn.XLOOKUP($A23,Таблица1[[Специалист]:[Специалист]],Таблица1[[Ставка НДС]:[Ставка НДС]]),0))</f>
        <v>0</v>
      </c>
      <c r="BK23" s="70" cm="1">
        <f t="array" ref="BK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проекта'!BK$1)/(1+IFERROR(_xlfn.XLOOKUP($A23,Таблица1[[Специалист]:[Специалист]],Таблица1[[Ставка НДС]:[Ставка НДС]]),0))</f>
        <v>0</v>
      </c>
      <c r="BL23" s="70" cm="1">
        <f t="array" ref="BL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проекта'!BL$1)/(1+IFERROR(_xlfn.XLOOKUP($A23,Таблица1[[Специалист]:[Специалист]],Таблица1[[Ставка НДС]:[Ставка НДС]]),0))</f>
        <v>0</v>
      </c>
      <c r="BM23" s="70" cm="1">
        <f t="array" ref="BM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проекта'!BM$1)/(1+IFERROR(_xlfn.XLOOKUP($A23,Таблица1[[Специалист]:[Специалист]],Таблица1[[Ставка НДС]:[Ставка НДС]]),0))</f>
        <v>0</v>
      </c>
      <c r="BN23" s="70" cm="1">
        <f t="array" ref="BN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проекта'!BN$1)/(1+IFERROR(_xlfn.XLOOKUP($A23,Таблица1[[Специалист]:[Специалист]],Таблица1[[Ставка НДС]:[Ставка НДС]]),0))</f>
        <v>0</v>
      </c>
      <c r="BO23" s="70" cm="1">
        <f t="array" ref="BO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проекта'!BO$1)/(1+IFERROR(_xlfn.XLOOKUP($A23,Таблица1[[Специалист]:[Специалист]],Таблица1[[Ставка НДС]:[Ставка НДС]]),0))</f>
        <v>0</v>
      </c>
      <c r="BP23" s="70" cm="1">
        <f t="array" ref="BP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проекта'!BP$1)/(1+IFERROR(_xlfn.XLOOKUP($A23,Таблица1[[Специалист]:[Специалист]],Таблица1[[Ставка НДС]:[Ставка НДС]]),0))</f>
        <v>0</v>
      </c>
      <c r="BQ23" s="70" cm="1">
        <f t="array" ref="BQ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проекта'!BQ$1)/(1+IFERROR(_xlfn.XLOOKUP($A23,Таблица1[[Специалист]:[Специалист]],Таблица1[[Ставка НДС]:[Ставка НДС]]),0))</f>
        <v>0</v>
      </c>
      <c r="BR23" s="70" cm="1">
        <f t="array" ref="BR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проекта'!BR$1)/(1+IFERROR(_xlfn.XLOOKUP($A23,Таблица1[[Специалист]:[Специалист]],Таблица1[[Ставка НДС]:[Ставка НДС]]),0))</f>
        <v>0</v>
      </c>
      <c r="BS23" s="70" cm="1">
        <f t="array" ref="BS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проекта'!BS$1)/(1+IFERROR(_xlfn.XLOOKUP($A23,Таблица1[[Специалист]:[Специалист]],Таблица1[[Ставка НДС]:[Ставка НДС]]),0))</f>
        <v>0</v>
      </c>
      <c r="BT23" s="70" cm="1">
        <f t="array" ref="BT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проекта'!BT$1)/(1+IFERROR(_xlfn.XLOOKUP($A23,Таблица1[[Специалист]:[Специалист]],Таблица1[[Ставка НДС]:[Ставка НДС]]),0))</f>
        <v>0</v>
      </c>
      <c r="BU23" s="70" cm="1">
        <f t="array" ref="BU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проекта'!BU$1)/(1+IFERROR(_xlfn.XLOOKUP($A23,Таблица1[[Специалист]:[Специалист]],Таблица1[[Ставка НДС]:[Ставка НДС]]),0))</f>
        <v>0</v>
      </c>
      <c r="BV23" s="70" cm="1">
        <f t="array" ref="BV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проекта'!BV$1)/(1+IFERROR(_xlfn.XLOOKUP($A23,Таблица1[[Специалист]:[Специалист]],Таблица1[[Ставка НДС]:[Ставка НДС]]),0))</f>
        <v>0</v>
      </c>
      <c r="BW23" s="70" cm="1">
        <f t="array" ref="BW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проекта'!BW$1)/(1+IFERROR(_xlfn.XLOOKUP($A23,Таблица1[[Специалист]:[Специалист]],Таблица1[[Ставка НДС]:[Ставка НДС]]),0))</f>
        <v>0</v>
      </c>
      <c r="BX23" s="70" cm="1">
        <f t="array" ref="BX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проекта'!BX$1)/(1+IFERROR(_xlfn.XLOOKUP($A23,Таблица1[[Специалист]:[Специалист]],Таблица1[[Ставка НДС]:[Ставка НДС]]),0))</f>
        <v>0</v>
      </c>
      <c r="BY23" s="70" cm="1">
        <f t="array" ref="BY23">SUMIFS(Таблица1[[Итого со страховыми]:[Итого со страховыми]],Таблица1[[Специалист]:[Специалист]],'шаблон расчета проекта'!$A23,Таблица1[[Прогнозный месяц подписания Акта]:[Прогнозный месяц подписания Акта]],'шаблон расчета проекта'!BY$1)/(1+IFERROR(_xlfn.XLOOKUP($A23,Таблица1[[Специалист]:[Специалист]],Таблица1[[Ставка НДС]:[Ставка НДС]]),0))</f>
        <v>0</v>
      </c>
      <c r="BZ23" s="71">
        <f t="shared" si="5"/>
        <v>525840</v>
      </c>
      <c r="CA23" s="51"/>
    </row>
    <row r="24" spans="1:79" x14ac:dyDescent="0.3">
      <c r="A24" s="54" t="str">
        <f t="shared" si="4"/>
        <v>Сазонов Павел</v>
      </c>
      <c r="B24" s="68" t="str">
        <f t="shared" si="4"/>
        <v>ИП</v>
      </c>
      <c r="C24" s="69">
        <f t="shared" si="4"/>
        <v>0</v>
      </c>
      <c r="D24" s="57">
        <f t="shared" si="4"/>
        <v>0</v>
      </c>
      <c r="E24" s="58">
        <f t="shared" si="4"/>
        <v>2500</v>
      </c>
      <c r="F24" s="70" cm="1">
        <f t="array" ref="F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проекта'!F$1)/(1+IFERROR(_xlfn.XLOOKUP($A24,Таблица1[[Специалист]:[Специалист]],Таблица1[[Ставка НДС]:[Ставка НДС]]),0))</f>
        <v>0</v>
      </c>
      <c r="G24" s="70" cm="1">
        <f t="array" ref="G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проекта'!G$1)/(1+IFERROR(_xlfn.XLOOKUP($A24,Таблица1[[Специалист]:[Специалист]],Таблица1[[Ставка НДС]:[Ставка НДС]]),0))</f>
        <v>0</v>
      </c>
      <c r="H24" s="70" cm="1">
        <f t="array" ref="H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проекта'!H$1)/(1+IFERROR(_xlfn.XLOOKUP($A24,Таблица1[[Специалист]:[Специалист]],Таблица1[[Ставка НДС]:[Ставка НДС]]),0))</f>
        <v>0</v>
      </c>
      <c r="I24" s="70" cm="1">
        <f t="array" ref="I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проекта'!I$1)/(1+IFERROR(_xlfn.XLOOKUP($A24,Таблица1[[Специалист]:[Специалист]],Таблица1[[Ставка НДС]:[Ставка НДС]]),0))</f>
        <v>0</v>
      </c>
      <c r="J24" s="70" cm="1">
        <f t="array" ref="J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проекта'!J$1)/(1+IFERROR(_xlfn.XLOOKUP($A24,Таблица1[[Специалист]:[Специалист]],Таблица1[[Ставка НДС]:[Ставка НДС]]),0))</f>
        <v>0</v>
      </c>
      <c r="K24" s="70" cm="1">
        <f t="array" ref="K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проекта'!K$1)/(1+IFERROR(_xlfn.XLOOKUP($A24,Таблица1[[Специалист]:[Специалист]],Таблица1[[Ставка НДС]:[Ставка НДС]]),0))</f>
        <v>0</v>
      </c>
      <c r="L24" s="70" cm="1">
        <f t="array" ref="L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проекта'!L$1)/(1+IFERROR(_xlfn.XLOOKUP($A24,Таблица1[[Специалист]:[Специалист]],Таблица1[[Ставка НДС]:[Ставка НДС]]),0))</f>
        <v>0</v>
      </c>
      <c r="M24" s="70" cm="1">
        <f t="array" ref="M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проекта'!M$1)/(1+IFERROR(_xlfn.XLOOKUP($A24,Таблица1[[Специалист]:[Специалист]],Таблица1[[Ставка НДС]:[Ставка НДС]]),0))</f>
        <v>0</v>
      </c>
      <c r="N24" s="70" cm="1">
        <f t="array" ref="N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проекта'!N$1)/(1+IFERROR(_xlfn.XLOOKUP($A24,Таблица1[[Специалист]:[Специалист]],Таблица1[[Ставка НДС]:[Ставка НДС]]),0))</f>
        <v>0</v>
      </c>
      <c r="O24" s="70" cm="1">
        <f t="array" ref="O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проекта'!O$1)/(1+IFERROR(_xlfn.XLOOKUP($A24,Таблица1[[Специалист]:[Специалист]],Таблица1[[Ставка НДС]:[Ставка НДС]]),0))</f>
        <v>0</v>
      </c>
      <c r="P24" s="70" cm="1">
        <f t="array" ref="P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проекта'!P$1)/(1+IFERROR(_xlfn.XLOOKUP($A24,Таблица1[[Специалист]:[Специалист]],Таблица1[[Ставка НДС]:[Ставка НДС]]),0))</f>
        <v>0</v>
      </c>
      <c r="Q24" s="70" cm="1">
        <f t="array" ref="Q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проекта'!Q$1)/(1+IFERROR(_xlfn.XLOOKUP($A24,Таблица1[[Специалист]:[Специалист]],Таблица1[[Ставка НДС]:[Ставка НДС]]),0))</f>
        <v>0</v>
      </c>
      <c r="R24" s="70" cm="1">
        <f t="array" ref="R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проекта'!R$1)/(1+IFERROR(_xlfn.XLOOKUP($A24,Таблица1[[Специалист]:[Специалист]],Таблица1[[Ставка НДС]:[Ставка НДС]]),0))</f>
        <v>0</v>
      </c>
      <c r="S24" s="70" cm="1">
        <f t="array" ref="S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проекта'!S$1)/(1+IFERROR(_xlfn.XLOOKUP($A24,Таблица1[[Специалист]:[Специалист]],Таблица1[[Ставка НДС]:[Ставка НДС]]),0))</f>
        <v>0</v>
      </c>
      <c r="T24" s="70" cm="1">
        <f t="array" ref="T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проекта'!T$1)/(1+IFERROR(_xlfn.XLOOKUP($A24,Таблица1[[Специалист]:[Специалист]],Таблица1[[Ставка НДС]:[Ставка НДС]]),0))</f>
        <v>0</v>
      </c>
      <c r="U24" s="70" cm="1">
        <f t="array" ref="U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проекта'!U$1)/(1+IFERROR(_xlfn.XLOOKUP($A24,Таблица1[[Специалист]:[Специалист]],Таблица1[[Ставка НДС]:[Ставка НДС]]),0))</f>
        <v>0</v>
      </c>
      <c r="V24" s="70" cm="1">
        <f t="array" ref="V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проекта'!V$1)/(1+IFERROR(_xlfn.XLOOKUP($A24,Таблица1[[Специалист]:[Специалист]],Таблица1[[Ставка НДС]:[Ставка НДС]]),0))</f>
        <v>0</v>
      </c>
      <c r="W24" s="70" cm="1">
        <f t="array" ref="W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проекта'!W$1)/(1+IFERROR(_xlfn.XLOOKUP($A24,Таблица1[[Специалист]:[Специалист]],Таблица1[[Ставка НДС]:[Ставка НДС]]),0))</f>
        <v>0</v>
      </c>
      <c r="X24" s="70" cm="1">
        <f t="array" ref="X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проекта'!X$1)/(1+IFERROR(_xlfn.XLOOKUP($A24,Таблица1[[Специалист]:[Специалист]],Таблица1[[Ставка НДС]:[Ставка НДС]]),0))</f>
        <v>0</v>
      </c>
      <c r="Y24" s="70" cm="1">
        <f t="array" ref="Y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проекта'!Y$1)/(1+IFERROR(_xlfn.XLOOKUP($A24,Таблица1[[Специалист]:[Специалист]],Таблица1[[Ставка НДС]:[Ставка НДС]]),0))</f>
        <v>0</v>
      </c>
      <c r="Z24" s="70" cm="1">
        <f t="array" ref="Z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проекта'!Z$1)/(1+IFERROR(_xlfn.XLOOKUP($A24,Таблица1[[Специалист]:[Специалист]],Таблица1[[Ставка НДС]:[Ставка НДС]]),0))</f>
        <v>0</v>
      </c>
      <c r="AA24" s="70" cm="1">
        <f t="array" ref="AA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проекта'!AA$1)/(1+IFERROR(_xlfn.XLOOKUP($A24,Таблица1[[Специалист]:[Специалист]],Таблица1[[Ставка НДС]:[Ставка НДС]]),0))</f>
        <v>0</v>
      </c>
      <c r="AB24" s="70" cm="1">
        <f t="array" ref="AB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проекта'!AB$1)/(1+IFERROR(_xlfn.XLOOKUP($A24,Таблица1[[Специалист]:[Специалист]],Таблица1[[Ставка НДС]:[Ставка НДС]]),0))</f>
        <v>0</v>
      </c>
      <c r="AC24" s="70" cm="1">
        <f t="array" ref="AC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проекта'!AC$1)/(1+IFERROR(_xlfn.XLOOKUP($A24,Таблица1[[Специалист]:[Специалист]],Таблица1[[Ставка НДС]:[Ставка НДС]]),0))</f>
        <v>0</v>
      </c>
      <c r="AD24" s="70" cm="1">
        <f t="array" ref="AD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проекта'!AD$1)/(1+IFERROR(_xlfn.XLOOKUP($A24,Таблица1[[Специалист]:[Специалист]],Таблица1[[Ставка НДС]:[Ставка НДС]]),0))</f>
        <v>0</v>
      </c>
      <c r="AE24" s="70" cm="1">
        <f t="array" ref="AE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проекта'!AE$1)/(1+IFERROR(_xlfn.XLOOKUP($A24,Таблица1[[Специалист]:[Специалист]],Таблица1[[Ставка НДС]:[Ставка НДС]]),0))</f>
        <v>0</v>
      </c>
      <c r="AF24" s="70" cm="1">
        <f t="array" ref="AF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проекта'!AF$1)/(1+IFERROR(_xlfn.XLOOKUP($A24,Таблица1[[Специалист]:[Специалист]],Таблица1[[Ставка НДС]:[Ставка НДС]]),0))</f>
        <v>0</v>
      </c>
      <c r="AG24" s="70" cm="1">
        <f t="array" ref="AG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проекта'!AG$1)/(1+IFERROR(_xlfn.XLOOKUP($A24,Таблица1[[Специалист]:[Специалист]],Таблица1[[Ставка НДС]:[Ставка НДС]]),0))</f>
        <v>0</v>
      </c>
      <c r="AH24" s="70" cm="1">
        <f t="array" ref="AH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проекта'!AH$1)/(1+IFERROR(_xlfn.XLOOKUP($A24,Таблица1[[Специалист]:[Специалист]],Таблица1[[Ставка НДС]:[Ставка НДС]]),0))</f>
        <v>0</v>
      </c>
      <c r="AI24" s="70" cm="1">
        <f t="array" ref="AI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проекта'!AI$1)/(1+IFERROR(_xlfn.XLOOKUP($A24,Таблица1[[Специалист]:[Специалист]],Таблица1[[Ставка НДС]:[Ставка НДС]]),0))</f>
        <v>0</v>
      </c>
      <c r="AJ24" s="70" cm="1">
        <f t="array" ref="AJ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проекта'!AJ$1)/(1+IFERROR(_xlfn.XLOOKUP($A24,Таблица1[[Специалист]:[Специалист]],Таблица1[[Ставка НДС]:[Ставка НДС]]),0))</f>
        <v>130000</v>
      </c>
      <c r="AK24" s="70" cm="1">
        <f t="array" ref="AK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проекта'!AK$1)/(1+IFERROR(_xlfn.XLOOKUP($A24,Таблица1[[Специалист]:[Специалист]],Таблица1[[Ставка НДС]:[Ставка НДС]]),0))</f>
        <v>0</v>
      </c>
      <c r="AL24" s="70" cm="1">
        <f t="array" ref="AL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проекта'!AL$1)/(1+IFERROR(_xlfn.XLOOKUP($A24,Таблица1[[Специалист]:[Специалист]],Таблица1[[Ставка НДС]:[Ставка НДС]]),0))</f>
        <v>0</v>
      </c>
      <c r="AM24" s="70" cm="1">
        <f t="array" ref="AM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проекта'!AM$1)/(1+IFERROR(_xlfn.XLOOKUP($A24,Таблица1[[Специалист]:[Специалист]],Таблица1[[Ставка НДС]:[Ставка НДС]]),0))</f>
        <v>0</v>
      </c>
      <c r="AN24" s="70" cm="1">
        <f t="array" ref="AN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проекта'!AN$1)/(1+IFERROR(_xlfn.XLOOKUP($A24,Таблица1[[Специалист]:[Специалист]],Таблица1[[Ставка НДС]:[Ставка НДС]]),0))</f>
        <v>0</v>
      </c>
      <c r="AO24" s="70" cm="1">
        <f t="array" ref="AO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проекта'!AO$1)/(1+IFERROR(_xlfn.XLOOKUP($A24,Таблица1[[Специалист]:[Специалист]],Таблица1[[Ставка НДС]:[Ставка НДС]]),0))</f>
        <v>0</v>
      </c>
      <c r="AP24" s="70" cm="1">
        <f t="array" ref="AP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проекта'!AP$1)/(1+IFERROR(_xlfn.XLOOKUP($A24,Таблица1[[Специалист]:[Специалист]],Таблица1[[Ставка НДС]:[Ставка НДС]]),0))</f>
        <v>0</v>
      </c>
      <c r="AQ24" s="70" cm="1">
        <f t="array" ref="AQ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проекта'!AQ$1)/(1+IFERROR(_xlfn.XLOOKUP($A24,Таблица1[[Специалист]:[Специалист]],Таблица1[[Ставка НДС]:[Ставка НДС]]),0))</f>
        <v>0</v>
      </c>
      <c r="AR24" s="70" cm="1">
        <f t="array" ref="AR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проекта'!AR$1)/(1+IFERROR(_xlfn.XLOOKUP($A24,Таблица1[[Специалист]:[Специалист]],Таблица1[[Ставка НДС]:[Ставка НДС]]),0))</f>
        <v>0</v>
      </c>
      <c r="AS24" s="70" cm="1">
        <f t="array" ref="AS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проекта'!AS$1)/(1+IFERROR(_xlfn.XLOOKUP($A24,Таблица1[[Специалист]:[Специалист]],Таблица1[[Ставка НДС]:[Ставка НДС]]),0))</f>
        <v>0</v>
      </c>
      <c r="AT24" s="70" cm="1">
        <f t="array" ref="AT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проекта'!AT$1)/(1+IFERROR(_xlfn.XLOOKUP($A24,Таблица1[[Специалист]:[Специалист]],Таблица1[[Ставка НДС]:[Ставка НДС]]),0))</f>
        <v>0</v>
      </c>
      <c r="AU24" s="70" cm="1">
        <f t="array" ref="AU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проекта'!AU$1)/(1+IFERROR(_xlfn.XLOOKUP($A24,Таблица1[[Специалист]:[Специалист]],Таблица1[[Ставка НДС]:[Ставка НДС]]),0))</f>
        <v>0</v>
      </c>
      <c r="AV24" s="70" cm="1">
        <f t="array" ref="AV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проекта'!AV$1)/(1+IFERROR(_xlfn.XLOOKUP($A24,Таблица1[[Специалист]:[Специалист]],Таблица1[[Ставка НДС]:[Ставка НДС]]),0))</f>
        <v>0</v>
      </c>
      <c r="AW24" s="70" cm="1">
        <f t="array" ref="AW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проекта'!AW$1)/(1+IFERROR(_xlfn.XLOOKUP($A24,Таблица1[[Специалист]:[Специалист]],Таблица1[[Ставка НДС]:[Ставка НДС]]),0))</f>
        <v>0</v>
      </c>
      <c r="AX24" s="70" cm="1">
        <f t="array" ref="AX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проекта'!AX$1)/(1+IFERROR(_xlfn.XLOOKUP($A24,Таблица1[[Специалист]:[Специалист]],Таблица1[[Ставка НДС]:[Ставка НДС]]),0))</f>
        <v>0</v>
      </c>
      <c r="AY24" s="70" cm="1">
        <f t="array" ref="AY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проекта'!AY$1)/(1+IFERROR(_xlfn.XLOOKUP($A24,Таблица1[[Специалист]:[Специалист]],Таблица1[[Ставка НДС]:[Ставка НДС]]),0))</f>
        <v>0</v>
      </c>
      <c r="AZ24" s="70" cm="1">
        <f t="array" ref="AZ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проекта'!AZ$1)/(1+IFERROR(_xlfn.XLOOKUP($A24,Таблица1[[Специалист]:[Специалист]],Таблица1[[Ставка НДС]:[Ставка НДС]]),0))</f>
        <v>0</v>
      </c>
      <c r="BA24" s="70" cm="1">
        <f t="array" ref="BA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проекта'!BA$1)/(1+IFERROR(_xlfn.XLOOKUP($A24,Таблица1[[Специалист]:[Специалист]],Таблица1[[Ставка НДС]:[Ставка НДС]]),0))</f>
        <v>0</v>
      </c>
      <c r="BB24" s="70" cm="1">
        <f t="array" ref="BB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проекта'!BB$1)/(1+IFERROR(_xlfn.XLOOKUP($A24,Таблица1[[Специалист]:[Специалист]],Таблица1[[Ставка НДС]:[Ставка НДС]]),0))</f>
        <v>0</v>
      </c>
      <c r="BC24" s="70" cm="1">
        <f t="array" ref="BC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проекта'!BC$1)/(1+IFERROR(_xlfn.XLOOKUP($A24,Таблица1[[Специалист]:[Специалист]],Таблица1[[Ставка НДС]:[Ставка НДС]]),0))</f>
        <v>0</v>
      </c>
      <c r="BD24" s="70" cm="1">
        <f t="array" ref="BD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проекта'!BD$1)/(1+IFERROR(_xlfn.XLOOKUP($A24,Таблица1[[Специалист]:[Специалист]],Таблица1[[Ставка НДС]:[Ставка НДС]]),0))</f>
        <v>0</v>
      </c>
      <c r="BE24" s="70" cm="1">
        <f t="array" ref="BE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проекта'!BE$1)/(1+IFERROR(_xlfn.XLOOKUP($A24,Таблица1[[Специалист]:[Специалист]],Таблица1[[Ставка НДС]:[Ставка НДС]]),0))</f>
        <v>0</v>
      </c>
      <c r="BF24" s="70" cm="1">
        <f t="array" ref="BF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проекта'!BF$1)/(1+IFERROR(_xlfn.XLOOKUP($A24,Таблица1[[Специалист]:[Специалист]],Таблица1[[Ставка НДС]:[Ставка НДС]]),0))</f>
        <v>0</v>
      </c>
      <c r="BG24" s="70" cm="1">
        <f t="array" ref="BG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проекта'!BG$1)/(1+IFERROR(_xlfn.XLOOKUP($A24,Таблица1[[Специалист]:[Специалист]],Таблица1[[Ставка НДС]:[Ставка НДС]]),0))</f>
        <v>0</v>
      </c>
      <c r="BH24" s="70" cm="1">
        <f t="array" ref="BH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проекта'!BH$1)/(1+IFERROR(_xlfn.XLOOKUP($A24,Таблица1[[Специалист]:[Специалист]],Таблица1[[Ставка НДС]:[Ставка НДС]]),0))</f>
        <v>0</v>
      </c>
      <c r="BI24" s="70" cm="1">
        <f t="array" ref="BI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проекта'!BI$1)/(1+IFERROR(_xlfn.XLOOKUP($A24,Таблица1[[Специалист]:[Специалист]],Таблица1[[Ставка НДС]:[Ставка НДС]]),0))</f>
        <v>0</v>
      </c>
      <c r="BJ24" s="70" cm="1">
        <f t="array" ref="BJ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проекта'!BJ$1)/(1+IFERROR(_xlfn.XLOOKUP($A24,Таблица1[[Специалист]:[Специалист]],Таблица1[[Ставка НДС]:[Ставка НДС]]),0))</f>
        <v>0</v>
      </c>
      <c r="BK24" s="70" cm="1">
        <f t="array" ref="BK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проекта'!BK$1)/(1+IFERROR(_xlfn.XLOOKUP($A24,Таблица1[[Специалист]:[Специалист]],Таблица1[[Ставка НДС]:[Ставка НДС]]),0))</f>
        <v>0</v>
      </c>
      <c r="BL24" s="70" cm="1">
        <f t="array" ref="BL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проекта'!BL$1)/(1+IFERROR(_xlfn.XLOOKUP($A24,Таблица1[[Специалист]:[Специалист]],Таблица1[[Ставка НДС]:[Ставка НДС]]),0))</f>
        <v>0</v>
      </c>
      <c r="BM24" s="70" cm="1">
        <f t="array" ref="BM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проекта'!BM$1)/(1+IFERROR(_xlfn.XLOOKUP($A24,Таблица1[[Специалист]:[Специалист]],Таблица1[[Ставка НДС]:[Ставка НДС]]),0))</f>
        <v>0</v>
      </c>
      <c r="BN24" s="70" cm="1">
        <f t="array" ref="BN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проекта'!BN$1)/(1+IFERROR(_xlfn.XLOOKUP($A24,Таблица1[[Специалист]:[Специалист]],Таблица1[[Ставка НДС]:[Ставка НДС]]),0))</f>
        <v>0</v>
      </c>
      <c r="BO24" s="70" cm="1">
        <f t="array" ref="BO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проекта'!BO$1)/(1+IFERROR(_xlfn.XLOOKUP($A24,Таблица1[[Специалист]:[Специалист]],Таблица1[[Ставка НДС]:[Ставка НДС]]),0))</f>
        <v>0</v>
      </c>
      <c r="BP24" s="70" cm="1">
        <f t="array" ref="BP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проекта'!BP$1)/(1+IFERROR(_xlfn.XLOOKUP($A24,Таблица1[[Специалист]:[Специалист]],Таблица1[[Ставка НДС]:[Ставка НДС]]),0))</f>
        <v>0</v>
      </c>
      <c r="BQ24" s="70" cm="1">
        <f t="array" ref="BQ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проекта'!BQ$1)/(1+IFERROR(_xlfn.XLOOKUP($A24,Таблица1[[Специалист]:[Специалист]],Таблица1[[Ставка НДС]:[Ставка НДС]]),0))</f>
        <v>0</v>
      </c>
      <c r="BR24" s="70" cm="1">
        <f t="array" ref="BR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проекта'!BR$1)/(1+IFERROR(_xlfn.XLOOKUP($A24,Таблица1[[Специалист]:[Специалист]],Таблица1[[Ставка НДС]:[Ставка НДС]]),0))</f>
        <v>0</v>
      </c>
      <c r="BS24" s="70" cm="1">
        <f t="array" ref="BS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проекта'!BS$1)/(1+IFERROR(_xlfn.XLOOKUP($A24,Таблица1[[Специалист]:[Специалист]],Таблица1[[Ставка НДС]:[Ставка НДС]]),0))</f>
        <v>0</v>
      </c>
      <c r="BT24" s="70" cm="1">
        <f t="array" ref="BT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проекта'!BT$1)/(1+IFERROR(_xlfn.XLOOKUP($A24,Таблица1[[Специалист]:[Специалист]],Таблица1[[Ставка НДС]:[Ставка НДС]]),0))</f>
        <v>0</v>
      </c>
      <c r="BU24" s="70" cm="1">
        <f t="array" ref="BU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проекта'!BU$1)/(1+IFERROR(_xlfn.XLOOKUP($A24,Таблица1[[Специалист]:[Специалист]],Таблица1[[Ставка НДС]:[Ставка НДС]]),0))</f>
        <v>0</v>
      </c>
      <c r="BV24" s="70" cm="1">
        <f t="array" ref="BV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проекта'!BV$1)/(1+IFERROR(_xlfn.XLOOKUP($A24,Таблица1[[Специалист]:[Специалист]],Таблица1[[Ставка НДС]:[Ставка НДС]]),0))</f>
        <v>0</v>
      </c>
      <c r="BW24" s="70" cm="1">
        <f t="array" ref="BW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проекта'!BW$1)/(1+IFERROR(_xlfn.XLOOKUP($A24,Таблица1[[Специалист]:[Специалист]],Таблица1[[Ставка НДС]:[Ставка НДС]]),0))</f>
        <v>0</v>
      </c>
      <c r="BX24" s="70" cm="1">
        <f t="array" ref="BX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проекта'!BX$1)/(1+IFERROR(_xlfn.XLOOKUP($A24,Таблица1[[Специалист]:[Специалист]],Таблица1[[Ставка НДС]:[Ставка НДС]]),0))</f>
        <v>0</v>
      </c>
      <c r="BY24" s="70" cm="1">
        <f t="array" ref="BY24">SUMIFS(Таблица1[[Итого со страховыми]:[Итого со страховыми]],Таблица1[[Специалист]:[Специалист]],'шаблон расчета проекта'!$A24,Таблица1[[Прогнозный месяц подписания Акта]:[Прогнозный месяц подписания Акта]],'шаблон расчета проекта'!BY$1)/(1+IFERROR(_xlfn.XLOOKUP($A24,Таблица1[[Специалист]:[Специалист]],Таблица1[[Ставка НДС]:[Ставка НДС]]),0))</f>
        <v>0</v>
      </c>
      <c r="BZ24" s="71">
        <f t="shared" si="5"/>
        <v>130000</v>
      </c>
      <c r="CA24" s="51"/>
    </row>
    <row r="25" spans="1:79" x14ac:dyDescent="0.3">
      <c r="A25" s="54">
        <f t="shared" si="4"/>
        <v>0</v>
      </c>
      <c r="B25" s="68" t="str">
        <f t="shared" si="4"/>
        <v/>
      </c>
      <c r="C25" s="69">
        <f t="shared" si="4"/>
        <v>0</v>
      </c>
      <c r="D25" s="57">
        <f t="shared" si="4"/>
        <v>0</v>
      </c>
      <c r="E25" s="58">
        <f t="shared" si="4"/>
        <v>0</v>
      </c>
      <c r="F25" s="70" cm="1">
        <f t="array" ref="F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проекта'!F$1)/(1+IFERROR(_xlfn.XLOOKUP($A25,Таблица1[[Специалист]:[Специалист]],Таблица1[[Ставка НДС]:[Ставка НДС]]),0))</f>
        <v>0</v>
      </c>
      <c r="G25" s="70" cm="1">
        <f t="array" ref="G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проекта'!G$1)/(1+IFERROR(_xlfn.XLOOKUP($A25,Таблица1[[Специалист]:[Специалист]],Таблица1[[Ставка НДС]:[Ставка НДС]]),0))</f>
        <v>0</v>
      </c>
      <c r="H25" s="70" cm="1">
        <f t="array" ref="H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проекта'!H$1)/(1+IFERROR(_xlfn.XLOOKUP($A25,Таблица1[[Специалист]:[Специалист]],Таблица1[[Ставка НДС]:[Ставка НДС]]),0))</f>
        <v>0</v>
      </c>
      <c r="I25" s="70" cm="1">
        <f t="array" ref="I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проекта'!I$1)/(1+IFERROR(_xlfn.XLOOKUP($A25,Таблица1[[Специалист]:[Специалист]],Таблица1[[Ставка НДС]:[Ставка НДС]]),0))</f>
        <v>0</v>
      </c>
      <c r="J25" s="70" cm="1">
        <f t="array" ref="J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проекта'!J$1)/(1+IFERROR(_xlfn.XLOOKUP($A25,Таблица1[[Специалист]:[Специалист]],Таблица1[[Ставка НДС]:[Ставка НДС]]),0))</f>
        <v>0</v>
      </c>
      <c r="K25" s="70" cm="1">
        <f t="array" ref="K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проекта'!K$1)/(1+IFERROR(_xlfn.XLOOKUP($A25,Таблица1[[Специалист]:[Специалист]],Таблица1[[Ставка НДС]:[Ставка НДС]]),0))</f>
        <v>0</v>
      </c>
      <c r="L25" s="70" cm="1">
        <f t="array" ref="L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проекта'!L$1)/(1+IFERROR(_xlfn.XLOOKUP($A25,Таблица1[[Специалист]:[Специалист]],Таблица1[[Ставка НДС]:[Ставка НДС]]),0))</f>
        <v>0</v>
      </c>
      <c r="M25" s="70" cm="1">
        <f t="array" ref="M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проекта'!M$1)/(1+IFERROR(_xlfn.XLOOKUP($A25,Таблица1[[Специалист]:[Специалист]],Таблица1[[Ставка НДС]:[Ставка НДС]]),0))</f>
        <v>0</v>
      </c>
      <c r="N25" s="70" cm="1">
        <f t="array" ref="N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проекта'!N$1)/(1+IFERROR(_xlfn.XLOOKUP($A25,Таблица1[[Специалист]:[Специалист]],Таблица1[[Ставка НДС]:[Ставка НДС]]),0))</f>
        <v>0</v>
      </c>
      <c r="O25" s="70" cm="1">
        <f t="array" ref="O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проекта'!O$1)/(1+IFERROR(_xlfn.XLOOKUP($A25,Таблица1[[Специалист]:[Специалист]],Таблица1[[Ставка НДС]:[Ставка НДС]]),0))</f>
        <v>0</v>
      </c>
      <c r="P25" s="70" cm="1">
        <f t="array" ref="P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проекта'!P$1)/(1+IFERROR(_xlfn.XLOOKUP($A25,Таблица1[[Специалист]:[Специалист]],Таблица1[[Ставка НДС]:[Ставка НДС]]),0))</f>
        <v>0</v>
      </c>
      <c r="Q25" s="70" cm="1">
        <f t="array" ref="Q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проекта'!Q$1)/(1+IFERROR(_xlfn.XLOOKUP($A25,Таблица1[[Специалист]:[Специалист]],Таблица1[[Ставка НДС]:[Ставка НДС]]),0))</f>
        <v>0</v>
      </c>
      <c r="R25" s="70" cm="1">
        <f t="array" ref="R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проекта'!R$1)/(1+IFERROR(_xlfn.XLOOKUP($A25,Таблица1[[Специалист]:[Специалист]],Таблица1[[Ставка НДС]:[Ставка НДС]]),0))</f>
        <v>0</v>
      </c>
      <c r="S25" s="70" cm="1">
        <f t="array" ref="S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проекта'!S$1)/(1+IFERROR(_xlfn.XLOOKUP($A25,Таблица1[[Специалист]:[Специалист]],Таблица1[[Ставка НДС]:[Ставка НДС]]),0))</f>
        <v>0</v>
      </c>
      <c r="T25" s="70" cm="1">
        <f t="array" ref="T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проекта'!T$1)/(1+IFERROR(_xlfn.XLOOKUP($A25,Таблица1[[Специалист]:[Специалист]],Таблица1[[Ставка НДС]:[Ставка НДС]]),0))</f>
        <v>0</v>
      </c>
      <c r="U25" s="70" cm="1">
        <f t="array" ref="U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проекта'!U$1)/(1+IFERROR(_xlfn.XLOOKUP($A25,Таблица1[[Специалист]:[Специалист]],Таблица1[[Ставка НДС]:[Ставка НДС]]),0))</f>
        <v>0</v>
      </c>
      <c r="V25" s="70" cm="1">
        <f t="array" ref="V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проекта'!V$1)/(1+IFERROR(_xlfn.XLOOKUP($A25,Таблица1[[Специалист]:[Специалист]],Таблица1[[Ставка НДС]:[Ставка НДС]]),0))</f>
        <v>0</v>
      </c>
      <c r="W25" s="70" cm="1">
        <f t="array" ref="W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проекта'!W$1)/(1+IFERROR(_xlfn.XLOOKUP($A25,Таблица1[[Специалист]:[Специалист]],Таблица1[[Ставка НДС]:[Ставка НДС]]),0))</f>
        <v>0</v>
      </c>
      <c r="X25" s="70" cm="1">
        <f t="array" ref="X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проекта'!X$1)/(1+IFERROR(_xlfn.XLOOKUP($A25,Таблица1[[Специалист]:[Специалист]],Таблица1[[Ставка НДС]:[Ставка НДС]]),0))</f>
        <v>0</v>
      </c>
      <c r="Y25" s="70" cm="1">
        <f t="array" ref="Y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проекта'!Y$1)/(1+IFERROR(_xlfn.XLOOKUP($A25,Таблица1[[Специалист]:[Специалист]],Таблица1[[Ставка НДС]:[Ставка НДС]]),0))</f>
        <v>0</v>
      </c>
      <c r="Z25" s="70" cm="1">
        <f t="array" ref="Z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проекта'!Z$1)/(1+IFERROR(_xlfn.XLOOKUP($A25,Таблица1[[Специалист]:[Специалист]],Таблица1[[Ставка НДС]:[Ставка НДС]]),0))</f>
        <v>0</v>
      </c>
      <c r="AA25" s="70" cm="1">
        <f t="array" ref="AA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проекта'!AA$1)/(1+IFERROR(_xlfn.XLOOKUP($A25,Таблица1[[Специалист]:[Специалист]],Таблица1[[Ставка НДС]:[Ставка НДС]]),0))</f>
        <v>0</v>
      </c>
      <c r="AB25" s="70" cm="1">
        <f t="array" ref="AB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проекта'!AB$1)/(1+IFERROR(_xlfn.XLOOKUP($A25,Таблица1[[Специалист]:[Специалист]],Таблица1[[Ставка НДС]:[Ставка НДС]]),0))</f>
        <v>0</v>
      </c>
      <c r="AC25" s="70" cm="1">
        <f t="array" ref="AC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проекта'!AC$1)/(1+IFERROR(_xlfn.XLOOKUP($A25,Таблица1[[Специалист]:[Специалист]],Таблица1[[Ставка НДС]:[Ставка НДС]]),0))</f>
        <v>0</v>
      </c>
      <c r="AD25" s="70" cm="1">
        <f t="array" ref="AD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проекта'!AD$1)/(1+IFERROR(_xlfn.XLOOKUP($A25,Таблица1[[Специалист]:[Специалист]],Таблица1[[Ставка НДС]:[Ставка НДС]]),0))</f>
        <v>0</v>
      </c>
      <c r="AE25" s="70" cm="1">
        <f t="array" ref="AE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проекта'!AE$1)/(1+IFERROR(_xlfn.XLOOKUP($A25,Таблица1[[Специалист]:[Специалист]],Таблица1[[Ставка НДС]:[Ставка НДС]]),0))</f>
        <v>0</v>
      </c>
      <c r="AF25" s="70" cm="1">
        <f t="array" ref="AF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проекта'!AF$1)/(1+IFERROR(_xlfn.XLOOKUP($A25,Таблица1[[Специалист]:[Специалист]],Таблица1[[Ставка НДС]:[Ставка НДС]]),0))</f>
        <v>0</v>
      </c>
      <c r="AG25" s="70" cm="1">
        <f t="array" ref="AG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проекта'!AG$1)/(1+IFERROR(_xlfn.XLOOKUP($A25,Таблица1[[Специалист]:[Специалист]],Таблица1[[Ставка НДС]:[Ставка НДС]]),0))</f>
        <v>0</v>
      </c>
      <c r="AH25" s="70" cm="1">
        <f t="array" ref="AH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проекта'!AH$1)/(1+IFERROR(_xlfn.XLOOKUP($A25,Таблица1[[Специалист]:[Специалист]],Таблица1[[Ставка НДС]:[Ставка НДС]]),0))</f>
        <v>0</v>
      </c>
      <c r="AI25" s="70" cm="1">
        <f t="array" ref="AI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проекта'!AI$1)/(1+IFERROR(_xlfn.XLOOKUP($A25,Таблица1[[Специалист]:[Специалист]],Таблица1[[Ставка НДС]:[Ставка НДС]]),0))</f>
        <v>0</v>
      </c>
      <c r="AJ25" s="70" cm="1">
        <f t="array" ref="AJ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проекта'!AJ$1)/(1+IFERROR(_xlfn.XLOOKUP($A25,Таблица1[[Специалист]:[Специалист]],Таблица1[[Ставка НДС]:[Ставка НДС]]),0))</f>
        <v>0</v>
      </c>
      <c r="AK25" s="70" cm="1">
        <f t="array" ref="AK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проекта'!AK$1)/(1+IFERROR(_xlfn.XLOOKUP($A25,Таблица1[[Специалист]:[Специалист]],Таблица1[[Ставка НДС]:[Ставка НДС]]),0))</f>
        <v>0</v>
      </c>
      <c r="AL25" s="70" cm="1">
        <f t="array" ref="AL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проекта'!AL$1)/(1+IFERROR(_xlfn.XLOOKUP($A25,Таблица1[[Специалист]:[Специалист]],Таблица1[[Ставка НДС]:[Ставка НДС]]),0))</f>
        <v>0</v>
      </c>
      <c r="AM25" s="70" cm="1">
        <f t="array" ref="AM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проекта'!AM$1)/(1+IFERROR(_xlfn.XLOOKUP($A25,Таблица1[[Специалист]:[Специалист]],Таблица1[[Ставка НДС]:[Ставка НДС]]),0))</f>
        <v>0</v>
      </c>
      <c r="AN25" s="70" cm="1">
        <f t="array" ref="AN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проекта'!AN$1)/(1+IFERROR(_xlfn.XLOOKUP($A25,Таблица1[[Специалист]:[Специалист]],Таблица1[[Ставка НДС]:[Ставка НДС]]),0))</f>
        <v>0</v>
      </c>
      <c r="AO25" s="70" cm="1">
        <f t="array" ref="AO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проекта'!AO$1)/(1+IFERROR(_xlfn.XLOOKUP($A25,Таблица1[[Специалист]:[Специалист]],Таблица1[[Ставка НДС]:[Ставка НДС]]),0))</f>
        <v>0</v>
      </c>
      <c r="AP25" s="70" cm="1">
        <f t="array" ref="AP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проекта'!AP$1)/(1+IFERROR(_xlfn.XLOOKUP($A25,Таблица1[[Специалист]:[Специалист]],Таблица1[[Ставка НДС]:[Ставка НДС]]),0))</f>
        <v>0</v>
      </c>
      <c r="AQ25" s="70" cm="1">
        <f t="array" ref="AQ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проекта'!AQ$1)/(1+IFERROR(_xlfn.XLOOKUP($A25,Таблица1[[Специалист]:[Специалист]],Таблица1[[Ставка НДС]:[Ставка НДС]]),0))</f>
        <v>0</v>
      </c>
      <c r="AR25" s="70" cm="1">
        <f t="array" ref="AR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проекта'!AR$1)/(1+IFERROR(_xlfn.XLOOKUP($A25,Таблица1[[Специалист]:[Специалист]],Таблица1[[Ставка НДС]:[Ставка НДС]]),0))</f>
        <v>0</v>
      </c>
      <c r="AS25" s="70" cm="1">
        <f t="array" ref="AS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проекта'!AS$1)/(1+IFERROR(_xlfn.XLOOKUP($A25,Таблица1[[Специалист]:[Специалист]],Таблица1[[Ставка НДС]:[Ставка НДС]]),0))</f>
        <v>0</v>
      </c>
      <c r="AT25" s="70" cm="1">
        <f t="array" ref="AT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проекта'!AT$1)/(1+IFERROR(_xlfn.XLOOKUP($A25,Таблица1[[Специалист]:[Специалист]],Таблица1[[Ставка НДС]:[Ставка НДС]]),0))</f>
        <v>0</v>
      </c>
      <c r="AU25" s="70" cm="1">
        <f t="array" ref="AU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проекта'!AU$1)/(1+IFERROR(_xlfn.XLOOKUP($A25,Таблица1[[Специалист]:[Специалист]],Таблица1[[Ставка НДС]:[Ставка НДС]]),0))</f>
        <v>0</v>
      </c>
      <c r="AV25" s="70" cm="1">
        <f t="array" ref="AV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проекта'!AV$1)/(1+IFERROR(_xlfn.XLOOKUP($A25,Таблица1[[Специалист]:[Специалист]],Таблица1[[Ставка НДС]:[Ставка НДС]]),0))</f>
        <v>0</v>
      </c>
      <c r="AW25" s="70" cm="1">
        <f t="array" ref="AW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проекта'!AW$1)/(1+IFERROR(_xlfn.XLOOKUP($A25,Таблица1[[Специалист]:[Специалист]],Таблица1[[Ставка НДС]:[Ставка НДС]]),0))</f>
        <v>0</v>
      </c>
      <c r="AX25" s="70" cm="1">
        <f t="array" ref="AX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проекта'!AX$1)/(1+IFERROR(_xlfn.XLOOKUP($A25,Таблица1[[Специалист]:[Специалист]],Таблица1[[Ставка НДС]:[Ставка НДС]]),0))</f>
        <v>0</v>
      </c>
      <c r="AY25" s="70" cm="1">
        <f t="array" ref="AY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проекта'!AY$1)/(1+IFERROR(_xlfn.XLOOKUP($A25,Таблица1[[Специалист]:[Специалист]],Таблица1[[Ставка НДС]:[Ставка НДС]]),0))</f>
        <v>0</v>
      </c>
      <c r="AZ25" s="70" cm="1">
        <f t="array" ref="AZ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проекта'!AZ$1)/(1+IFERROR(_xlfn.XLOOKUP($A25,Таблица1[[Специалист]:[Специалист]],Таблица1[[Ставка НДС]:[Ставка НДС]]),0))</f>
        <v>0</v>
      </c>
      <c r="BA25" s="70" cm="1">
        <f t="array" ref="BA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проекта'!BA$1)/(1+IFERROR(_xlfn.XLOOKUP($A25,Таблица1[[Специалист]:[Специалист]],Таблица1[[Ставка НДС]:[Ставка НДС]]),0))</f>
        <v>0</v>
      </c>
      <c r="BB25" s="70" cm="1">
        <f t="array" ref="BB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проекта'!BB$1)/(1+IFERROR(_xlfn.XLOOKUP($A25,Таблица1[[Специалист]:[Специалист]],Таблица1[[Ставка НДС]:[Ставка НДС]]),0))</f>
        <v>0</v>
      </c>
      <c r="BC25" s="70" cm="1">
        <f t="array" ref="BC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проекта'!BC$1)/(1+IFERROR(_xlfn.XLOOKUP($A25,Таблица1[[Специалист]:[Специалист]],Таблица1[[Ставка НДС]:[Ставка НДС]]),0))</f>
        <v>0</v>
      </c>
      <c r="BD25" s="70" cm="1">
        <f t="array" ref="BD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проекта'!BD$1)/(1+IFERROR(_xlfn.XLOOKUP($A25,Таблица1[[Специалист]:[Специалист]],Таблица1[[Ставка НДС]:[Ставка НДС]]),0))</f>
        <v>0</v>
      </c>
      <c r="BE25" s="70" cm="1">
        <f t="array" ref="BE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проекта'!BE$1)/(1+IFERROR(_xlfn.XLOOKUP($A25,Таблица1[[Специалист]:[Специалист]],Таблица1[[Ставка НДС]:[Ставка НДС]]),0))</f>
        <v>0</v>
      </c>
      <c r="BF25" s="70" cm="1">
        <f t="array" ref="BF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проекта'!BF$1)/(1+IFERROR(_xlfn.XLOOKUP($A25,Таблица1[[Специалист]:[Специалист]],Таблица1[[Ставка НДС]:[Ставка НДС]]),0))</f>
        <v>0</v>
      </c>
      <c r="BG25" s="70" cm="1">
        <f t="array" ref="BG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проекта'!BG$1)/(1+IFERROR(_xlfn.XLOOKUP($A25,Таблица1[[Специалист]:[Специалист]],Таблица1[[Ставка НДС]:[Ставка НДС]]),0))</f>
        <v>0</v>
      </c>
      <c r="BH25" s="70" cm="1">
        <f t="array" ref="BH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проекта'!BH$1)/(1+IFERROR(_xlfn.XLOOKUP($A25,Таблица1[[Специалист]:[Специалист]],Таблица1[[Ставка НДС]:[Ставка НДС]]),0))</f>
        <v>0</v>
      </c>
      <c r="BI25" s="70" cm="1">
        <f t="array" ref="BI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проекта'!BI$1)/(1+IFERROR(_xlfn.XLOOKUP($A25,Таблица1[[Специалист]:[Специалист]],Таблица1[[Ставка НДС]:[Ставка НДС]]),0))</f>
        <v>0</v>
      </c>
      <c r="BJ25" s="70" cm="1">
        <f t="array" ref="BJ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проекта'!BJ$1)/(1+IFERROR(_xlfn.XLOOKUP($A25,Таблица1[[Специалист]:[Специалист]],Таблица1[[Ставка НДС]:[Ставка НДС]]),0))</f>
        <v>0</v>
      </c>
      <c r="BK25" s="70" cm="1">
        <f t="array" ref="BK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проекта'!BK$1)/(1+IFERROR(_xlfn.XLOOKUP($A25,Таблица1[[Специалист]:[Специалист]],Таблица1[[Ставка НДС]:[Ставка НДС]]),0))</f>
        <v>0</v>
      </c>
      <c r="BL25" s="70" cm="1">
        <f t="array" ref="BL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проекта'!BL$1)/(1+IFERROR(_xlfn.XLOOKUP($A25,Таблица1[[Специалист]:[Специалист]],Таблица1[[Ставка НДС]:[Ставка НДС]]),0))</f>
        <v>0</v>
      </c>
      <c r="BM25" s="70" cm="1">
        <f t="array" ref="BM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проекта'!BM$1)/(1+IFERROR(_xlfn.XLOOKUP($A25,Таблица1[[Специалист]:[Специалист]],Таблица1[[Ставка НДС]:[Ставка НДС]]),0))</f>
        <v>0</v>
      </c>
      <c r="BN25" s="70" cm="1">
        <f t="array" ref="BN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проекта'!BN$1)/(1+IFERROR(_xlfn.XLOOKUP($A25,Таблица1[[Специалист]:[Специалист]],Таблица1[[Ставка НДС]:[Ставка НДС]]),0))</f>
        <v>0</v>
      </c>
      <c r="BO25" s="70" cm="1">
        <f t="array" ref="BO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проекта'!BO$1)/(1+IFERROR(_xlfn.XLOOKUP($A25,Таблица1[[Специалист]:[Специалист]],Таблица1[[Ставка НДС]:[Ставка НДС]]),0))</f>
        <v>0</v>
      </c>
      <c r="BP25" s="70" cm="1">
        <f t="array" ref="BP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проекта'!BP$1)/(1+IFERROR(_xlfn.XLOOKUP($A25,Таблица1[[Специалист]:[Специалист]],Таблица1[[Ставка НДС]:[Ставка НДС]]),0))</f>
        <v>0</v>
      </c>
      <c r="BQ25" s="70" cm="1">
        <f t="array" ref="BQ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проекта'!BQ$1)/(1+IFERROR(_xlfn.XLOOKUP($A25,Таблица1[[Специалист]:[Специалист]],Таблица1[[Ставка НДС]:[Ставка НДС]]),0))</f>
        <v>0</v>
      </c>
      <c r="BR25" s="70" cm="1">
        <f t="array" ref="BR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проекта'!BR$1)/(1+IFERROR(_xlfn.XLOOKUP($A25,Таблица1[[Специалист]:[Специалист]],Таблица1[[Ставка НДС]:[Ставка НДС]]),0))</f>
        <v>0</v>
      </c>
      <c r="BS25" s="70" cm="1">
        <f t="array" ref="BS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проекта'!BS$1)/(1+IFERROR(_xlfn.XLOOKUP($A25,Таблица1[[Специалист]:[Специалист]],Таблица1[[Ставка НДС]:[Ставка НДС]]),0))</f>
        <v>0</v>
      </c>
      <c r="BT25" s="70" cm="1">
        <f t="array" ref="BT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проекта'!BT$1)/(1+IFERROR(_xlfn.XLOOKUP($A25,Таблица1[[Специалист]:[Специалист]],Таблица1[[Ставка НДС]:[Ставка НДС]]),0))</f>
        <v>0</v>
      </c>
      <c r="BU25" s="70" cm="1">
        <f t="array" ref="BU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проекта'!BU$1)/(1+IFERROR(_xlfn.XLOOKUP($A25,Таблица1[[Специалист]:[Специалист]],Таблица1[[Ставка НДС]:[Ставка НДС]]),0))</f>
        <v>0</v>
      </c>
      <c r="BV25" s="70" cm="1">
        <f t="array" ref="BV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проекта'!BV$1)/(1+IFERROR(_xlfn.XLOOKUP($A25,Таблица1[[Специалист]:[Специалист]],Таблица1[[Ставка НДС]:[Ставка НДС]]),0))</f>
        <v>0</v>
      </c>
      <c r="BW25" s="70" cm="1">
        <f t="array" ref="BW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проекта'!BW$1)/(1+IFERROR(_xlfn.XLOOKUP($A25,Таблица1[[Специалист]:[Специалист]],Таблица1[[Ставка НДС]:[Ставка НДС]]),0))</f>
        <v>0</v>
      </c>
      <c r="BX25" s="70" cm="1">
        <f t="array" ref="BX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проекта'!BX$1)/(1+IFERROR(_xlfn.XLOOKUP($A25,Таблица1[[Специалист]:[Специалист]],Таблица1[[Ставка НДС]:[Ставка НДС]]),0))</f>
        <v>0</v>
      </c>
      <c r="BY25" s="70" cm="1">
        <f t="array" ref="BY25">SUMIFS(Таблица1[[Итого со страховыми]:[Итого со страховыми]],Таблица1[[Специалист]:[Специалист]],'шаблон расчета проекта'!$A25,Таблица1[[Прогнозный месяц подписания Акта]:[Прогнозный месяц подписания Акта]],'шаблон расчета проекта'!BY$1)/(1+IFERROR(_xlfn.XLOOKUP($A25,Таблица1[[Специалист]:[Специалист]],Таблица1[[Ставка НДС]:[Ставка НДС]]),0))</f>
        <v>0</v>
      </c>
      <c r="BZ25" s="71">
        <f t="shared" si="5"/>
        <v>0</v>
      </c>
      <c r="CA25" s="51"/>
    </row>
    <row r="26" spans="1:79" x14ac:dyDescent="0.3">
      <c r="A26" s="54">
        <f t="shared" si="4"/>
        <v>0</v>
      </c>
      <c r="B26" s="68" t="str">
        <f t="shared" si="4"/>
        <v/>
      </c>
      <c r="C26" s="69">
        <f t="shared" si="4"/>
        <v>0</v>
      </c>
      <c r="D26" s="57">
        <f t="shared" si="4"/>
        <v>0</v>
      </c>
      <c r="E26" s="58">
        <f t="shared" si="4"/>
        <v>0</v>
      </c>
      <c r="F26" s="70" cm="1">
        <f t="array" ref="F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проекта'!F$1)/(1+IFERROR(_xlfn.XLOOKUP($A26,Таблица1[[Специалист]:[Специалист]],Таблица1[[Ставка НДС]:[Ставка НДС]]),0))</f>
        <v>0</v>
      </c>
      <c r="G26" s="70" cm="1">
        <f t="array" ref="G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проекта'!G$1)/(1+IFERROR(_xlfn.XLOOKUP($A26,Таблица1[[Специалист]:[Специалист]],Таблица1[[Ставка НДС]:[Ставка НДС]]),0))</f>
        <v>0</v>
      </c>
      <c r="H26" s="70" cm="1">
        <f t="array" ref="H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проекта'!H$1)/(1+IFERROR(_xlfn.XLOOKUP($A26,Таблица1[[Специалист]:[Специалист]],Таблица1[[Ставка НДС]:[Ставка НДС]]),0))</f>
        <v>0</v>
      </c>
      <c r="I26" s="70" cm="1">
        <f t="array" ref="I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проекта'!I$1)/(1+IFERROR(_xlfn.XLOOKUP($A26,Таблица1[[Специалист]:[Специалист]],Таблица1[[Ставка НДС]:[Ставка НДС]]),0))</f>
        <v>0</v>
      </c>
      <c r="J26" s="70" cm="1">
        <f t="array" ref="J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проекта'!J$1)/(1+IFERROR(_xlfn.XLOOKUP($A26,Таблица1[[Специалист]:[Специалист]],Таблица1[[Ставка НДС]:[Ставка НДС]]),0))</f>
        <v>0</v>
      </c>
      <c r="K26" s="70" cm="1">
        <f t="array" ref="K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проекта'!K$1)/(1+IFERROR(_xlfn.XLOOKUP($A26,Таблица1[[Специалист]:[Специалист]],Таблица1[[Ставка НДС]:[Ставка НДС]]),0))</f>
        <v>0</v>
      </c>
      <c r="L26" s="70" cm="1">
        <f t="array" ref="L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проекта'!L$1)/(1+IFERROR(_xlfn.XLOOKUP($A26,Таблица1[[Специалист]:[Специалист]],Таблица1[[Ставка НДС]:[Ставка НДС]]),0))</f>
        <v>0</v>
      </c>
      <c r="M26" s="70" cm="1">
        <f t="array" ref="M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проекта'!M$1)/(1+IFERROR(_xlfn.XLOOKUP($A26,Таблица1[[Специалист]:[Специалист]],Таблица1[[Ставка НДС]:[Ставка НДС]]),0))</f>
        <v>0</v>
      </c>
      <c r="N26" s="70" cm="1">
        <f t="array" ref="N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проекта'!N$1)/(1+IFERROR(_xlfn.XLOOKUP($A26,Таблица1[[Специалист]:[Специалист]],Таблица1[[Ставка НДС]:[Ставка НДС]]),0))</f>
        <v>0</v>
      </c>
      <c r="O26" s="70" cm="1">
        <f t="array" ref="O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проекта'!O$1)/(1+IFERROR(_xlfn.XLOOKUP($A26,Таблица1[[Специалист]:[Специалист]],Таблица1[[Ставка НДС]:[Ставка НДС]]),0))</f>
        <v>0</v>
      </c>
      <c r="P26" s="70" cm="1">
        <f t="array" ref="P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проекта'!P$1)/(1+IFERROR(_xlfn.XLOOKUP($A26,Таблица1[[Специалист]:[Специалист]],Таблица1[[Ставка НДС]:[Ставка НДС]]),0))</f>
        <v>0</v>
      </c>
      <c r="Q26" s="70" cm="1">
        <f t="array" ref="Q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проекта'!Q$1)/(1+IFERROR(_xlfn.XLOOKUP($A26,Таблица1[[Специалист]:[Специалист]],Таблица1[[Ставка НДС]:[Ставка НДС]]),0))</f>
        <v>0</v>
      </c>
      <c r="R26" s="70" cm="1">
        <f t="array" ref="R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проекта'!R$1)/(1+IFERROR(_xlfn.XLOOKUP($A26,Таблица1[[Специалист]:[Специалист]],Таблица1[[Ставка НДС]:[Ставка НДС]]),0))</f>
        <v>0</v>
      </c>
      <c r="S26" s="70" cm="1">
        <f t="array" ref="S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проекта'!S$1)/(1+IFERROR(_xlfn.XLOOKUP($A26,Таблица1[[Специалист]:[Специалист]],Таблица1[[Ставка НДС]:[Ставка НДС]]),0))</f>
        <v>0</v>
      </c>
      <c r="T26" s="70" cm="1">
        <f t="array" ref="T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проекта'!T$1)/(1+IFERROR(_xlfn.XLOOKUP($A26,Таблица1[[Специалист]:[Специалист]],Таблица1[[Ставка НДС]:[Ставка НДС]]),0))</f>
        <v>0</v>
      </c>
      <c r="U26" s="70" cm="1">
        <f t="array" ref="U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проекта'!U$1)/(1+IFERROR(_xlfn.XLOOKUP($A26,Таблица1[[Специалист]:[Специалист]],Таблица1[[Ставка НДС]:[Ставка НДС]]),0))</f>
        <v>0</v>
      </c>
      <c r="V26" s="70" cm="1">
        <f t="array" ref="V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проекта'!V$1)/(1+IFERROR(_xlfn.XLOOKUP($A26,Таблица1[[Специалист]:[Специалист]],Таблица1[[Ставка НДС]:[Ставка НДС]]),0))</f>
        <v>0</v>
      </c>
      <c r="W26" s="70" cm="1">
        <f t="array" ref="W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проекта'!W$1)/(1+IFERROR(_xlfn.XLOOKUP($A26,Таблица1[[Специалист]:[Специалист]],Таблица1[[Ставка НДС]:[Ставка НДС]]),0))</f>
        <v>0</v>
      </c>
      <c r="X26" s="70" cm="1">
        <f t="array" ref="X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проекта'!X$1)/(1+IFERROR(_xlfn.XLOOKUP($A26,Таблица1[[Специалист]:[Специалист]],Таблица1[[Ставка НДС]:[Ставка НДС]]),0))</f>
        <v>0</v>
      </c>
      <c r="Y26" s="70" cm="1">
        <f t="array" ref="Y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проекта'!Y$1)/(1+IFERROR(_xlfn.XLOOKUP($A26,Таблица1[[Специалист]:[Специалист]],Таблица1[[Ставка НДС]:[Ставка НДС]]),0))</f>
        <v>0</v>
      </c>
      <c r="Z26" s="70" cm="1">
        <f t="array" ref="Z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проекта'!Z$1)/(1+IFERROR(_xlfn.XLOOKUP($A26,Таблица1[[Специалист]:[Специалист]],Таблица1[[Ставка НДС]:[Ставка НДС]]),0))</f>
        <v>0</v>
      </c>
      <c r="AA26" s="70" cm="1">
        <f t="array" ref="AA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проекта'!AA$1)/(1+IFERROR(_xlfn.XLOOKUP($A26,Таблица1[[Специалист]:[Специалист]],Таблица1[[Ставка НДС]:[Ставка НДС]]),0))</f>
        <v>0</v>
      </c>
      <c r="AB26" s="70" cm="1">
        <f t="array" ref="AB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проекта'!AB$1)/(1+IFERROR(_xlfn.XLOOKUP($A26,Таблица1[[Специалист]:[Специалист]],Таблица1[[Ставка НДС]:[Ставка НДС]]),0))</f>
        <v>0</v>
      </c>
      <c r="AC26" s="70" cm="1">
        <f t="array" ref="AC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проекта'!AC$1)/(1+IFERROR(_xlfn.XLOOKUP($A26,Таблица1[[Специалист]:[Специалист]],Таблица1[[Ставка НДС]:[Ставка НДС]]),0))</f>
        <v>0</v>
      </c>
      <c r="AD26" s="70" cm="1">
        <f t="array" ref="AD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проекта'!AD$1)/(1+IFERROR(_xlfn.XLOOKUP($A26,Таблица1[[Специалист]:[Специалист]],Таблица1[[Ставка НДС]:[Ставка НДС]]),0))</f>
        <v>0</v>
      </c>
      <c r="AE26" s="70" cm="1">
        <f t="array" ref="AE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проекта'!AE$1)/(1+IFERROR(_xlfn.XLOOKUP($A26,Таблица1[[Специалист]:[Специалист]],Таблица1[[Ставка НДС]:[Ставка НДС]]),0))</f>
        <v>0</v>
      </c>
      <c r="AF26" s="70" cm="1">
        <f t="array" ref="AF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проекта'!AF$1)/(1+IFERROR(_xlfn.XLOOKUP($A26,Таблица1[[Специалист]:[Специалист]],Таблица1[[Ставка НДС]:[Ставка НДС]]),0))</f>
        <v>0</v>
      </c>
      <c r="AG26" s="70" cm="1">
        <f t="array" ref="AG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проекта'!AG$1)/(1+IFERROR(_xlfn.XLOOKUP($A26,Таблица1[[Специалист]:[Специалист]],Таблица1[[Ставка НДС]:[Ставка НДС]]),0))</f>
        <v>0</v>
      </c>
      <c r="AH26" s="70" cm="1">
        <f t="array" ref="AH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проекта'!AH$1)/(1+IFERROR(_xlfn.XLOOKUP($A26,Таблица1[[Специалист]:[Специалист]],Таблица1[[Ставка НДС]:[Ставка НДС]]),0))</f>
        <v>0</v>
      </c>
      <c r="AI26" s="70" cm="1">
        <f t="array" ref="AI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проекта'!AI$1)/(1+IFERROR(_xlfn.XLOOKUP($A26,Таблица1[[Специалист]:[Специалист]],Таблица1[[Ставка НДС]:[Ставка НДС]]),0))</f>
        <v>0</v>
      </c>
      <c r="AJ26" s="70" cm="1">
        <f t="array" ref="AJ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проекта'!AJ$1)/(1+IFERROR(_xlfn.XLOOKUP($A26,Таблица1[[Специалист]:[Специалист]],Таблица1[[Ставка НДС]:[Ставка НДС]]),0))</f>
        <v>0</v>
      </c>
      <c r="AK26" s="70" cm="1">
        <f t="array" ref="AK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проекта'!AK$1)/(1+IFERROR(_xlfn.XLOOKUP($A26,Таблица1[[Специалист]:[Специалист]],Таблица1[[Ставка НДС]:[Ставка НДС]]),0))</f>
        <v>0</v>
      </c>
      <c r="AL26" s="70" cm="1">
        <f t="array" ref="AL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проекта'!AL$1)/(1+IFERROR(_xlfn.XLOOKUP($A26,Таблица1[[Специалист]:[Специалист]],Таблица1[[Ставка НДС]:[Ставка НДС]]),0))</f>
        <v>0</v>
      </c>
      <c r="AM26" s="70" cm="1">
        <f t="array" ref="AM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проекта'!AM$1)/(1+IFERROR(_xlfn.XLOOKUP($A26,Таблица1[[Специалист]:[Специалист]],Таблица1[[Ставка НДС]:[Ставка НДС]]),0))</f>
        <v>0</v>
      </c>
      <c r="AN26" s="70" cm="1">
        <f t="array" ref="AN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проекта'!AN$1)/(1+IFERROR(_xlfn.XLOOKUP($A26,Таблица1[[Специалист]:[Специалист]],Таблица1[[Ставка НДС]:[Ставка НДС]]),0))</f>
        <v>0</v>
      </c>
      <c r="AO26" s="70" cm="1">
        <f t="array" ref="AO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проекта'!AO$1)/(1+IFERROR(_xlfn.XLOOKUP($A26,Таблица1[[Специалист]:[Специалист]],Таблица1[[Ставка НДС]:[Ставка НДС]]),0))</f>
        <v>0</v>
      </c>
      <c r="AP26" s="70" cm="1">
        <f t="array" ref="AP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проекта'!AP$1)/(1+IFERROR(_xlfn.XLOOKUP($A26,Таблица1[[Специалист]:[Специалист]],Таблица1[[Ставка НДС]:[Ставка НДС]]),0))</f>
        <v>0</v>
      </c>
      <c r="AQ26" s="70" cm="1">
        <f t="array" ref="AQ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проекта'!AQ$1)/(1+IFERROR(_xlfn.XLOOKUP($A26,Таблица1[[Специалист]:[Специалист]],Таблица1[[Ставка НДС]:[Ставка НДС]]),0))</f>
        <v>0</v>
      </c>
      <c r="AR26" s="70" cm="1">
        <f t="array" ref="AR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проекта'!AR$1)/(1+IFERROR(_xlfn.XLOOKUP($A26,Таблица1[[Специалист]:[Специалист]],Таблица1[[Ставка НДС]:[Ставка НДС]]),0))</f>
        <v>0</v>
      </c>
      <c r="AS26" s="70" cm="1">
        <f t="array" ref="AS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проекта'!AS$1)/(1+IFERROR(_xlfn.XLOOKUP($A26,Таблица1[[Специалист]:[Специалист]],Таблица1[[Ставка НДС]:[Ставка НДС]]),0))</f>
        <v>0</v>
      </c>
      <c r="AT26" s="70" cm="1">
        <f t="array" ref="AT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проекта'!AT$1)/(1+IFERROR(_xlfn.XLOOKUP($A26,Таблица1[[Специалист]:[Специалист]],Таблица1[[Ставка НДС]:[Ставка НДС]]),0))</f>
        <v>0</v>
      </c>
      <c r="AU26" s="70" cm="1">
        <f t="array" ref="AU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проекта'!AU$1)/(1+IFERROR(_xlfn.XLOOKUP($A26,Таблица1[[Специалист]:[Специалист]],Таблица1[[Ставка НДС]:[Ставка НДС]]),0))</f>
        <v>0</v>
      </c>
      <c r="AV26" s="70" cm="1">
        <f t="array" ref="AV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проекта'!AV$1)/(1+IFERROR(_xlfn.XLOOKUP($A26,Таблица1[[Специалист]:[Специалист]],Таблица1[[Ставка НДС]:[Ставка НДС]]),0))</f>
        <v>0</v>
      </c>
      <c r="AW26" s="70" cm="1">
        <f t="array" ref="AW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проекта'!AW$1)/(1+IFERROR(_xlfn.XLOOKUP($A26,Таблица1[[Специалист]:[Специалист]],Таблица1[[Ставка НДС]:[Ставка НДС]]),0))</f>
        <v>0</v>
      </c>
      <c r="AX26" s="70" cm="1">
        <f t="array" ref="AX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проекта'!AX$1)/(1+IFERROR(_xlfn.XLOOKUP($A26,Таблица1[[Специалист]:[Специалист]],Таблица1[[Ставка НДС]:[Ставка НДС]]),0))</f>
        <v>0</v>
      </c>
      <c r="AY26" s="70" cm="1">
        <f t="array" ref="AY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проекта'!AY$1)/(1+IFERROR(_xlfn.XLOOKUP($A26,Таблица1[[Специалист]:[Специалист]],Таблица1[[Ставка НДС]:[Ставка НДС]]),0))</f>
        <v>0</v>
      </c>
      <c r="AZ26" s="70" cm="1">
        <f t="array" ref="AZ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проекта'!AZ$1)/(1+IFERROR(_xlfn.XLOOKUP($A26,Таблица1[[Специалист]:[Специалист]],Таблица1[[Ставка НДС]:[Ставка НДС]]),0))</f>
        <v>0</v>
      </c>
      <c r="BA26" s="70" cm="1">
        <f t="array" ref="BA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проекта'!BA$1)/(1+IFERROR(_xlfn.XLOOKUP($A26,Таблица1[[Специалист]:[Специалист]],Таблица1[[Ставка НДС]:[Ставка НДС]]),0))</f>
        <v>0</v>
      </c>
      <c r="BB26" s="70" cm="1">
        <f t="array" ref="BB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проекта'!BB$1)/(1+IFERROR(_xlfn.XLOOKUP($A26,Таблица1[[Специалист]:[Специалист]],Таблица1[[Ставка НДС]:[Ставка НДС]]),0))</f>
        <v>0</v>
      </c>
      <c r="BC26" s="70" cm="1">
        <f t="array" ref="BC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проекта'!BC$1)/(1+IFERROR(_xlfn.XLOOKUP($A26,Таблица1[[Специалист]:[Специалист]],Таблица1[[Ставка НДС]:[Ставка НДС]]),0))</f>
        <v>0</v>
      </c>
      <c r="BD26" s="70" cm="1">
        <f t="array" ref="BD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проекта'!BD$1)/(1+IFERROR(_xlfn.XLOOKUP($A26,Таблица1[[Специалист]:[Специалист]],Таблица1[[Ставка НДС]:[Ставка НДС]]),0))</f>
        <v>0</v>
      </c>
      <c r="BE26" s="70" cm="1">
        <f t="array" ref="BE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проекта'!BE$1)/(1+IFERROR(_xlfn.XLOOKUP($A26,Таблица1[[Специалист]:[Специалист]],Таблица1[[Ставка НДС]:[Ставка НДС]]),0))</f>
        <v>0</v>
      </c>
      <c r="BF26" s="70" cm="1">
        <f t="array" ref="BF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проекта'!BF$1)/(1+IFERROR(_xlfn.XLOOKUP($A26,Таблица1[[Специалист]:[Специалист]],Таблица1[[Ставка НДС]:[Ставка НДС]]),0))</f>
        <v>0</v>
      </c>
      <c r="BG26" s="70" cm="1">
        <f t="array" ref="BG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проекта'!BG$1)/(1+IFERROR(_xlfn.XLOOKUP($A26,Таблица1[[Специалист]:[Специалист]],Таблица1[[Ставка НДС]:[Ставка НДС]]),0))</f>
        <v>0</v>
      </c>
      <c r="BH26" s="70" cm="1">
        <f t="array" ref="BH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проекта'!BH$1)/(1+IFERROR(_xlfn.XLOOKUP($A26,Таблица1[[Специалист]:[Специалист]],Таблица1[[Ставка НДС]:[Ставка НДС]]),0))</f>
        <v>0</v>
      </c>
      <c r="BI26" s="70" cm="1">
        <f t="array" ref="BI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проекта'!BI$1)/(1+IFERROR(_xlfn.XLOOKUP($A26,Таблица1[[Специалист]:[Специалист]],Таблица1[[Ставка НДС]:[Ставка НДС]]),0))</f>
        <v>0</v>
      </c>
      <c r="BJ26" s="70" cm="1">
        <f t="array" ref="BJ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проекта'!BJ$1)/(1+IFERROR(_xlfn.XLOOKUP($A26,Таблица1[[Специалист]:[Специалист]],Таблица1[[Ставка НДС]:[Ставка НДС]]),0))</f>
        <v>0</v>
      </c>
      <c r="BK26" s="70" cm="1">
        <f t="array" ref="BK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проекта'!BK$1)/(1+IFERROR(_xlfn.XLOOKUP($A26,Таблица1[[Специалист]:[Специалист]],Таблица1[[Ставка НДС]:[Ставка НДС]]),0))</f>
        <v>0</v>
      </c>
      <c r="BL26" s="70" cm="1">
        <f t="array" ref="BL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проекта'!BL$1)/(1+IFERROR(_xlfn.XLOOKUP($A26,Таблица1[[Специалист]:[Специалист]],Таблица1[[Ставка НДС]:[Ставка НДС]]),0))</f>
        <v>0</v>
      </c>
      <c r="BM26" s="70" cm="1">
        <f t="array" ref="BM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проекта'!BM$1)/(1+IFERROR(_xlfn.XLOOKUP($A26,Таблица1[[Специалист]:[Специалист]],Таблица1[[Ставка НДС]:[Ставка НДС]]),0))</f>
        <v>0</v>
      </c>
      <c r="BN26" s="70" cm="1">
        <f t="array" ref="BN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проекта'!BN$1)/(1+IFERROR(_xlfn.XLOOKUP($A26,Таблица1[[Специалист]:[Специалист]],Таблица1[[Ставка НДС]:[Ставка НДС]]),0))</f>
        <v>0</v>
      </c>
      <c r="BO26" s="70" cm="1">
        <f t="array" ref="BO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проекта'!BO$1)/(1+IFERROR(_xlfn.XLOOKUP($A26,Таблица1[[Специалист]:[Специалист]],Таблица1[[Ставка НДС]:[Ставка НДС]]),0))</f>
        <v>0</v>
      </c>
      <c r="BP26" s="70" cm="1">
        <f t="array" ref="BP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проекта'!BP$1)/(1+IFERROR(_xlfn.XLOOKUP($A26,Таблица1[[Специалист]:[Специалист]],Таблица1[[Ставка НДС]:[Ставка НДС]]),0))</f>
        <v>0</v>
      </c>
      <c r="BQ26" s="70" cm="1">
        <f t="array" ref="BQ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проекта'!BQ$1)/(1+IFERROR(_xlfn.XLOOKUP($A26,Таблица1[[Специалист]:[Специалист]],Таблица1[[Ставка НДС]:[Ставка НДС]]),0))</f>
        <v>0</v>
      </c>
      <c r="BR26" s="70" cm="1">
        <f t="array" ref="BR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проекта'!BR$1)/(1+IFERROR(_xlfn.XLOOKUP($A26,Таблица1[[Специалист]:[Специалист]],Таблица1[[Ставка НДС]:[Ставка НДС]]),0))</f>
        <v>0</v>
      </c>
      <c r="BS26" s="70" cm="1">
        <f t="array" ref="BS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проекта'!BS$1)/(1+IFERROR(_xlfn.XLOOKUP($A26,Таблица1[[Специалист]:[Специалист]],Таблица1[[Ставка НДС]:[Ставка НДС]]),0))</f>
        <v>0</v>
      </c>
      <c r="BT26" s="70" cm="1">
        <f t="array" ref="BT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проекта'!BT$1)/(1+IFERROR(_xlfn.XLOOKUP($A26,Таблица1[[Специалист]:[Специалист]],Таблица1[[Ставка НДС]:[Ставка НДС]]),0))</f>
        <v>0</v>
      </c>
      <c r="BU26" s="70" cm="1">
        <f t="array" ref="BU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проекта'!BU$1)/(1+IFERROR(_xlfn.XLOOKUP($A26,Таблица1[[Специалист]:[Специалист]],Таблица1[[Ставка НДС]:[Ставка НДС]]),0))</f>
        <v>0</v>
      </c>
      <c r="BV26" s="70" cm="1">
        <f t="array" ref="BV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проекта'!BV$1)/(1+IFERROR(_xlfn.XLOOKUP($A26,Таблица1[[Специалист]:[Специалист]],Таблица1[[Ставка НДС]:[Ставка НДС]]),0))</f>
        <v>0</v>
      </c>
      <c r="BW26" s="70" cm="1">
        <f t="array" ref="BW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проекта'!BW$1)/(1+IFERROR(_xlfn.XLOOKUP($A26,Таблица1[[Специалист]:[Специалист]],Таблица1[[Ставка НДС]:[Ставка НДС]]),0))</f>
        <v>0</v>
      </c>
      <c r="BX26" s="70" cm="1">
        <f t="array" ref="BX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проекта'!BX$1)/(1+IFERROR(_xlfn.XLOOKUP($A26,Таблица1[[Специалист]:[Специалист]],Таблица1[[Ставка НДС]:[Ставка НДС]]),0))</f>
        <v>0</v>
      </c>
      <c r="BY26" s="70" cm="1">
        <f t="array" ref="BY26">SUMIFS(Таблица1[[Итого со страховыми]:[Итого со страховыми]],Таблица1[[Специалист]:[Специалист]],'шаблон расчета проекта'!$A26,Таблица1[[Прогнозный месяц подписания Акта]:[Прогнозный месяц подписания Акта]],'шаблон расчета проекта'!BY$1)/(1+IFERROR(_xlfn.XLOOKUP($A26,Таблица1[[Специалист]:[Специалист]],Таблица1[[Ставка НДС]:[Ставка НДС]]),0))</f>
        <v>0</v>
      </c>
      <c r="BZ26" s="71">
        <f t="shared" si="5"/>
        <v>0</v>
      </c>
      <c r="CA26" s="51"/>
    </row>
    <row r="27" spans="1:79" x14ac:dyDescent="0.3">
      <c r="A27" s="54">
        <f t="shared" si="4"/>
        <v>0</v>
      </c>
      <c r="B27" s="68" t="str">
        <f t="shared" si="4"/>
        <v/>
      </c>
      <c r="C27" s="69">
        <f t="shared" si="4"/>
        <v>0</v>
      </c>
      <c r="D27" s="57">
        <f t="shared" si="4"/>
        <v>0</v>
      </c>
      <c r="E27" s="58">
        <f t="shared" si="4"/>
        <v>0</v>
      </c>
      <c r="F27" s="70" cm="1">
        <f t="array" ref="F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проекта'!F$1)/(1+IFERROR(_xlfn.XLOOKUP($A27,Таблица1[[Специалист]:[Специалист]],Таблица1[[Ставка НДС]:[Ставка НДС]]),0))</f>
        <v>0</v>
      </c>
      <c r="G27" s="70" cm="1">
        <f t="array" ref="G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проекта'!G$1)/(1+IFERROR(_xlfn.XLOOKUP($A27,Таблица1[[Специалист]:[Специалист]],Таблица1[[Ставка НДС]:[Ставка НДС]]),0))</f>
        <v>0</v>
      </c>
      <c r="H27" s="70" cm="1">
        <f t="array" ref="H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проекта'!H$1)/(1+IFERROR(_xlfn.XLOOKUP($A27,Таблица1[[Специалист]:[Специалист]],Таблица1[[Ставка НДС]:[Ставка НДС]]),0))</f>
        <v>0</v>
      </c>
      <c r="I27" s="70" cm="1">
        <f t="array" ref="I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проекта'!I$1)/(1+IFERROR(_xlfn.XLOOKUP($A27,Таблица1[[Специалист]:[Специалист]],Таблица1[[Ставка НДС]:[Ставка НДС]]),0))</f>
        <v>0</v>
      </c>
      <c r="J27" s="70" cm="1">
        <f t="array" ref="J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проекта'!J$1)/(1+IFERROR(_xlfn.XLOOKUP($A27,Таблица1[[Специалист]:[Специалист]],Таблица1[[Ставка НДС]:[Ставка НДС]]),0))</f>
        <v>0</v>
      </c>
      <c r="K27" s="70" cm="1">
        <f t="array" ref="K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проекта'!K$1)/(1+IFERROR(_xlfn.XLOOKUP($A27,Таблица1[[Специалист]:[Специалист]],Таблица1[[Ставка НДС]:[Ставка НДС]]),0))</f>
        <v>0</v>
      </c>
      <c r="L27" s="70" cm="1">
        <f t="array" ref="L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проекта'!L$1)/(1+IFERROR(_xlfn.XLOOKUP($A27,Таблица1[[Специалист]:[Специалист]],Таблица1[[Ставка НДС]:[Ставка НДС]]),0))</f>
        <v>0</v>
      </c>
      <c r="M27" s="70" cm="1">
        <f t="array" ref="M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проекта'!M$1)/(1+IFERROR(_xlfn.XLOOKUP($A27,Таблица1[[Специалист]:[Специалист]],Таблица1[[Ставка НДС]:[Ставка НДС]]),0))</f>
        <v>0</v>
      </c>
      <c r="N27" s="70" cm="1">
        <f t="array" ref="N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проекта'!N$1)/(1+IFERROR(_xlfn.XLOOKUP($A27,Таблица1[[Специалист]:[Специалист]],Таблица1[[Ставка НДС]:[Ставка НДС]]),0))</f>
        <v>0</v>
      </c>
      <c r="O27" s="70" cm="1">
        <f t="array" ref="O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проекта'!O$1)/(1+IFERROR(_xlfn.XLOOKUP($A27,Таблица1[[Специалист]:[Специалист]],Таблица1[[Ставка НДС]:[Ставка НДС]]),0))</f>
        <v>0</v>
      </c>
      <c r="P27" s="70" cm="1">
        <f t="array" ref="P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проекта'!P$1)/(1+IFERROR(_xlfn.XLOOKUP($A27,Таблица1[[Специалист]:[Специалист]],Таблица1[[Ставка НДС]:[Ставка НДС]]),0))</f>
        <v>0</v>
      </c>
      <c r="Q27" s="70" cm="1">
        <f t="array" ref="Q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проекта'!Q$1)/(1+IFERROR(_xlfn.XLOOKUP($A27,Таблица1[[Специалист]:[Специалист]],Таблица1[[Ставка НДС]:[Ставка НДС]]),0))</f>
        <v>0</v>
      </c>
      <c r="R27" s="70" cm="1">
        <f t="array" ref="R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проекта'!R$1)/(1+IFERROR(_xlfn.XLOOKUP($A27,Таблица1[[Специалист]:[Специалист]],Таблица1[[Ставка НДС]:[Ставка НДС]]),0))</f>
        <v>0</v>
      </c>
      <c r="S27" s="70" cm="1">
        <f t="array" ref="S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проекта'!S$1)/(1+IFERROR(_xlfn.XLOOKUP($A27,Таблица1[[Специалист]:[Специалист]],Таблица1[[Ставка НДС]:[Ставка НДС]]),0))</f>
        <v>0</v>
      </c>
      <c r="T27" s="70" cm="1">
        <f t="array" ref="T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проекта'!T$1)/(1+IFERROR(_xlfn.XLOOKUP($A27,Таблица1[[Специалист]:[Специалист]],Таблица1[[Ставка НДС]:[Ставка НДС]]),0))</f>
        <v>0</v>
      </c>
      <c r="U27" s="70" cm="1">
        <f t="array" ref="U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проекта'!U$1)/(1+IFERROR(_xlfn.XLOOKUP($A27,Таблица1[[Специалист]:[Специалист]],Таблица1[[Ставка НДС]:[Ставка НДС]]),0))</f>
        <v>0</v>
      </c>
      <c r="V27" s="70" cm="1">
        <f t="array" ref="V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проекта'!V$1)/(1+IFERROR(_xlfn.XLOOKUP($A27,Таблица1[[Специалист]:[Специалист]],Таблица1[[Ставка НДС]:[Ставка НДС]]),0))</f>
        <v>0</v>
      </c>
      <c r="W27" s="70" cm="1">
        <f t="array" ref="W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проекта'!W$1)/(1+IFERROR(_xlfn.XLOOKUP($A27,Таблица1[[Специалист]:[Специалист]],Таблица1[[Ставка НДС]:[Ставка НДС]]),0))</f>
        <v>0</v>
      </c>
      <c r="X27" s="70" cm="1">
        <f t="array" ref="X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проекта'!X$1)/(1+IFERROR(_xlfn.XLOOKUP($A27,Таблица1[[Специалист]:[Специалист]],Таблица1[[Ставка НДС]:[Ставка НДС]]),0))</f>
        <v>0</v>
      </c>
      <c r="Y27" s="70" cm="1">
        <f t="array" ref="Y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проекта'!Y$1)/(1+IFERROR(_xlfn.XLOOKUP($A27,Таблица1[[Специалист]:[Специалист]],Таблица1[[Ставка НДС]:[Ставка НДС]]),0))</f>
        <v>0</v>
      </c>
      <c r="Z27" s="70" cm="1">
        <f t="array" ref="Z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проекта'!Z$1)/(1+IFERROR(_xlfn.XLOOKUP($A27,Таблица1[[Специалист]:[Специалист]],Таблица1[[Ставка НДС]:[Ставка НДС]]),0))</f>
        <v>0</v>
      </c>
      <c r="AA27" s="70" cm="1">
        <f t="array" ref="AA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проекта'!AA$1)/(1+IFERROR(_xlfn.XLOOKUP($A27,Таблица1[[Специалист]:[Специалист]],Таблица1[[Ставка НДС]:[Ставка НДС]]),0))</f>
        <v>0</v>
      </c>
      <c r="AB27" s="70" cm="1">
        <f t="array" ref="AB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проекта'!AB$1)/(1+IFERROR(_xlfn.XLOOKUP($A27,Таблица1[[Специалист]:[Специалист]],Таблица1[[Ставка НДС]:[Ставка НДС]]),0))</f>
        <v>0</v>
      </c>
      <c r="AC27" s="70" cm="1">
        <f t="array" ref="AC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проекта'!AC$1)/(1+IFERROR(_xlfn.XLOOKUP($A27,Таблица1[[Специалист]:[Специалист]],Таблица1[[Ставка НДС]:[Ставка НДС]]),0))</f>
        <v>0</v>
      </c>
      <c r="AD27" s="70" cm="1">
        <f t="array" ref="AD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проекта'!AD$1)/(1+IFERROR(_xlfn.XLOOKUP($A27,Таблица1[[Специалист]:[Специалист]],Таблица1[[Ставка НДС]:[Ставка НДС]]),0))</f>
        <v>0</v>
      </c>
      <c r="AE27" s="70" cm="1">
        <f t="array" ref="AE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проекта'!AE$1)/(1+IFERROR(_xlfn.XLOOKUP($A27,Таблица1[[Специалист]:[Специалист]],Таблица1[[Ставка НДС]:[Ставка НДС]]),0))</f>
        <v>0</v>
      </c>
      <c r="AF27" s="70" cm="1">
        <f t="array" ref="AF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проекта'!AF$1)/(1+IFERROR(_xlfn.XLOOKUP($A27,Таблица1[[Специалист]:[Специалист]],Таблица1[[Ставка НДС]:[Ставка НДС]]),0))</f>
        <v>0</v>
      </c>
      <c r="AG27" s="70" cm="1">
        <f t="array" ref="AG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проекта'!AG$1)/(1+IFERROR(_xlfn.XLOOKUP($A27,Таблица1[[Специалист]:[Специалист]],Таблица1[[Ставка НДС]:[Ставка НДС]]),0))</f>
        <v>0</v>
      </c>
      <c r="AH27" s="70" cm="1">
        <f t="array" ref="AH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проекта'!AH$1)/(1+IFERROR(_xlfn.XLOOKUP($A27,Таблица1[[Специалист]:[Специалист]],Таблица1[[Ставка НДС]:[Ставка НДС]]),0))</f>
        <v>0</v>
      </c>
      <c r="AI27" s="70" cm="1">
        <f t="array" ref="AI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проекта'!AI$1)/(1+IFERROR(_xlfn.XLOOKUP($A27,Таблица1[[Специалист]:[Специалист]],Таблица1[[Ставка НДС]:[Ставка НДС]]),0))</f>
        <v>0</v>
      </c>
      <c r="AJ27" s="70" cm="1">
        <f t="array" ref="AJ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проекта'!AJ$1)/(1+IFERROR(_xlfn.XLOOKUP($A27,Таблица1[[Специалист]:[Специалист]],Таблица1[[Ставка НДС]:[Ставка НДС]]),0))</f>
        <v>0</v>
      </c>
      <c r="AK27" s="70" cm="1">
        <f t="array" ref="AK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проекта'!AK$1)/(1+IFERROR(_xlfn.XLOOKUP($A27,Таблица1[[Специалист]:[Специалист]],Таблица1[[Ставка НДС]:[Ставка НДС]]),0))</f>
        <v>0</v>
      </c>
      <c r="AL27" s="70" cm="1">
        <f t="array" ref="AL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проекта'!AL$1)/(1+IFERROR(_xlfn.XLOOKUP($A27,Таблица1[[Специалист]:[Специалист]],Таблица1[[Ставка НДС]:[Ставка НДС]]),0))</f>
        <v>0</v>
      </c>
      <c r="AM27" s="70" cm="1">
        <f t="array" ref="AM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проекта'!AM$1)/(1+IFERROR(_xlfn.XLOOKUP($A27,Таблица1[[Специалист]:[Специалист]],Таблица1[[Ставка НДС]:[Ставка НДС]]),0))</f>
        <v>0</v>
      </c>
      <c r="AN27" s="70" cm="1">
        <f t="array" ref="AN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проекта'!AN$1)/(1+IFERROR(_xlfn.XLOOKUP($A27,Таблица1[[Специалист]:[Специалист]],Таблица1[[Ставка НДС]:[Ставка НДС]]),0))</f>
        <v>0</v>
      </c>
      <c r="AO27" s="70" cm="1">
        <f t="array" ref="AO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проекта'!AO$1)/(1+IFERROR(_xlfn.XLOOKUP($A27,Таблица1[[Специалист]:[Специалист]],Таблица1[[Ставка НДС]:[Ставка НДС]]),0))</f>
        <v>0</v>
      </c>
      <c r="AP27" s="70" cm="1">
        <f t="array" ref="AP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проекта'!AP$1)/(1+IFERROR(_xlfn.XLOOKUP($A27,Таблица1[[Специалист]:[Специалист]],Таблица1[[Ставка НДС]:[Ставка НДС]]),0))</f>
        <v>0</v>
      </c>
      <c r="AQ27" s="70" cm="1">
        <f t="array" ref="AQ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проекта'!AQ$1)/(1+IFERROR(_xlfn.XLOOKUP($A27,Таблица1[[Специалист]:[Специалист]],Таблица1[[Ставка НДС]:[Ставка НДС]]),0))</f>
        <v>0</v>
      </c>
      <c r="AR27" s="70" cm="1">
        <f t="array" ref="AR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проекта'!AR$1)/(1+IFERROR(_xlfn.XLOOKUP($A27,Таблица1[[Специалист]:[Специалист]],Таблица1[[Ставка НДС]:[Ставка НДС]]),0))</f>
        <v>0</v>
      </c>
      <c r="AS27" s="70" cm="1">
        <f t="array" ref="AS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проекта'!AS$1)/(1+IFERROR(_xlfn.XLOOKUP($A27,Таблица1[[Специалист]:[Специалист]],Таблица1[[Ставка НДС]:[Ставка НДС]]),0))</f>
        <v>0</v>
      </c>
      <c r="AT27" s="70" cm="1">
        <f t="array" ref="AT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проекта'!AT$1)/(1+IFERROR(_xlfn.XLOOKUP($A27,Таблица1[[Специалист]:[Специалист]],Таблица1[[Ставка НДС]:[Ставка НДС]]),0))</f>
        <v>0</v>
      </c>
      <c r="AU27" s="70" cm="1">
        <f t="array" ref="AU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проекта'!AU$1)/(1+IFERROR(_xlfn.XLOOKUP($A27,Таблица1[[Специалист]:[Специалист]],Таблица1[[Ставка НДС]:[Ставка НДС]]),0))</f>
        <v>0</v>
      </c>
      <c r="AV27" s="70" cm="1">
        <f t="array" ref="AV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проекта'!AV$1)/(1+IFERROR(_xlfn.XLOOKUP($A27,Таблица1[[Специалист]:[Специалист]],Таблица1[[Ставка НДС]:[Ставка НДС]]),0))</f>
        <v>0</v>
      </c>
      <c r="AW27" s="70" cm="1">
        <f t="array" ref="AW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проекта'!AW$1)/(1+IFERROR(_xlfn.XLOOKUP($A27,Таблица1[[Специалист]:[Специалист]],Таблица1[[Ставка НДС]:[Ставка НДС]]),0))</f>
        <v>0</v>
      </c>
      <c r="AX27" s="70" cm="1">
        <f t="array" ref="AX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проекта'!AX$1)/(1+IFERROR(_xlfn.XLOOKUP($A27,Таблица1[[Специалист]:[Специалист]],Таблица1[[Ставка НДС]:[Ставка НДС]]),0))</f>
        <v>0</v>
      </c>
      <c r="AY27" s="70" cm="1">
        <f t="array" ref="AY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проекта'!AY$1)/(1+IFERROR(_xlfn.XLOOKUP($A27,Таблица1[[Специалист]:[Специалист]],Таблица1[[Ставка НДС]:[Ставка НДС]]),0))</f>
        <v>0</v>
      </c>
      <c r="AZ27" s="70" cm="1">
        <f t="array" ref="AZ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проекта'!AZ$1)/(1+IFERROR(_xlfn.XLOOKUP($A27,Таблица1[[Специалист]:[Специалист]],Таблица1[[Ставка НДС]:[Ставка НДС]]),0))</f>
        <v>0</v>
      </c>
      <c r="BA27" s="70" cm="1">
        <f t="array" ref="BA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проекта'!BA$1)/(1+IFERROR(_xlfn.XLOOKUP($A27,Таблица1[[Специалист]:[Специалист]],Таблица1[[Ставка НДС]:[Ставка НДС]]),0))</f>
        <v>0</v>
      </c>
      <c r="BB27" s="70" cm="1">
        <f t="array" ref="BB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проекта'!BB$1)/(1+IFERROR(_xlfn.XLOOKUP($A27,Таблица1[[Специалист]:[Специалист]],Таблица1[[Ставка НДС]:[Ставка НДС]]),0))</f>
        <v>0</v>
      </c>
      <c r="BC27" s="70" cm="1">
        <f t="array" ref="BC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проекта'!BC$1)/(1+IFERROR(_xlfn.XLOOKUP($A27,Таблица1[[Специалист]:[Специалист]],Таблица1[[Ставка НДС]:[Ставка НДС]]),0))</f>
        <v>0</v>
      </c>
      <c r="BD27" s="70" cm="1">
        <f t="array" ref="BD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проекта'!BD$1)/(1+IFERROR(_xlfn.XLOOKUP($A27,Таблица1[[Специалист]:[Специалист]],Таблица1[[Ставка НДС]:[Ставка НДС]]),0))</f>
        <v>0</v>
      </c>
      <c r="BE27" s="70" cm="1">
        <f t="array" ref="BE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проекта'!BE$1)/(1+IFERROR(_xlfn.XLOOKUP($A27,Таблица1[[Специалист]:[Специалист]],Таблица1[[Ставка НДС]:[Ставка НДС]]),0))</f>
        <v>0</v>
      </c>
      <c r="BF27" s="70" cm="1">
        <f t="array" ref="BF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проекта'!BF$1)/(1+IFERROR(_xlfn.XLOOKUP($A27,Таблица1[[Специалист]:[Специалист]],Таблица1[[Ставка НДС]:[Ставка НДС]]),0))</f>
        <v>0</v>
      </c>
      <c r="BG27" s="70" cm="1">
        <f t="array" ref="BG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проекта'!BG$1)/(1+IFERROR(_xlfn.XLOOKUP($A27,Таблица1[[Специалист]:[Специалист]],Таблица1[[Ставка НДС]:[Ставка НДС]]),0))</f>
        <v>0</v>
      </c>
      <c r="BH27" s="70" cm="1">
        <f t="array" ref="BH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проекта'!BH$1)/(1+IFERROR(_xlfn.XLOOKUP($A27,Таблица1[[Специалист]:[Специалист]],Таблица1[[Ставка НДС]:[Ставка НДС]]),0))</f>
        <v>0</v>
      </c>
      <c r="BI27" s="70" cm="1">
        <f t="array" ref="BI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проекта'!BI$1)/(1+IFERROR(_xlfn.XLOOKUP($A27,Таблица1[[Специалист]:[Специалист]],Таблица1[[Ставка НДС]:[Ставка НДС]]),0))</f>
        <v>0</v>
      </c>
      <c r="BJ27" s="70" cm="1">
        <f t="array" ref="BJ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проекта'!BJ$1)/(1+IFERROR(_xlfn.XLOOKUP($A27,Таблица1[[Специалист]:[Специалист]],Таблица1[[Ставка НДС]:[Ставка НДС]]),0))</f>
        <v>0</v>
      </c>
      <c r="BK27" s="70" cm="1">
        <f t="array" ref="BK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проекта'!BK$1)/(1+IFERROR(_xlfn.XLOOKUP($A27,Таблица1[[Специалист]:[Специалист]],Таблица1[[Ставка НДС]:[Ставка НДС]]),0))</f>
        <v>0</v>
      </c>
      <c r="BL27" s="70" cm="1">
        <f t="array" ref="BL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проекта'!BL$1)/(1+IFERROR(_xlfn.XLOOKUP($A27,Таблица1[[Специалист]:[Специалист]],Таблица1[[Ставка НДС]:[Ставка НДС]]),0))</f>
        <v>0</v>
      </c>
      <c r="BM27" s="70" cm="1">
        <f t="array" ref="BM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проекта'!BM$1)/(1+IFERROR(_xlfn.XLOOKUP($A27,Таблица1[[Специалист]:[Специалист]],Таблица1[[Ставка НДС]:[Ставка НДС]]),0))</f>
        <v>0</v>
      </c>
      <c r="BN27" s="70" cm="1">
        <f t="array" ref="BN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проекта'!BN$1)/(1+IFERROR(_xlfn.XLOOKUP($A27,Таблица1[[Специалист]:[Специалист]],Таблица1[[Ставка НДС]:[Ставка НДС]]),0))</f>
        <v>0</v>
      </c>
      <c r="BO27" s="70" cm="1">
        <f t="array" ref="BO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проекта'!BO$1)/(1+IFERROR(_xlfn.XLOOKUP($A27,Таблица1[[Специалист]:[Специалист]],Таблица1[[Ставка НДС]:[Ставка НДС]]),0))</f>
        <v>0</v>
      </c>
      <c r="BP27" s="70" cm="1">
        <f t="array" ref="BP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проекта'!BP$1)/(1+IFERROR(_xlfn.XLOOKUP($A27,Таблица1[[Специалист]:[Специалист]],Таблица1[[Ставка НДС]:[Ставка НДС]]),0))</f>
        <v>0</v>
      </c>
      <c r="BQ27" s="70" cm="1">
        <f t="array" ref="BQ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проекта'!BQ$1)/(1+IFERROR(_xlfn.XLOOKUP($A27,Таблица1[[Специалист]:[Специалист]],Таблица1[[Ставка НДС]:[Ставка НДС]]),0))</f>
        <v>0</v>
      </c>
      <c r="BR27" s="70" cm="1">
        <f t="array" ref="BR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проекта'!BR$1)/(1+IFERROR(_xlfn.XLOOKUP($A27,Таблица1[[Специалист]:[Специалист]],Таблица1[[Ставка НДС]:[Ставка НДС]]),0))</f>
        <v>0</v>
      </c>
      <c r="BS27" s="70" cm="1">
        <f t="array" ref="BS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проекта'!BS$1)/(1+IFERROR(_xlfn.XLOOKUP($A27,Таблица1[[Специалист]:[Специалист]],Таблица1[[Ставка НДС]:[Ставка НДС]]),0))</f>
        <v>0</v>
      </c>
      <c r="BT27" s="70" cm="1">
        <f t="array" ref="BT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проекта'!BT$1)/(1+IFERROR(_xlfn.XLOOKUP($A27,Таблица1[[Специалист]:[Специалист]],Таблица1[[Ставка НДС]:[Ставка НДС]]),0))</f>
        <v>0</v>
      </c>
      <c r="BU27" s="70" cm="1">
        <f t="array" ref="BU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проекта'!BU$1)/(1+IFERROR(_xlfn.XLOOKUP($A27,Таблица1[[Специалист]:[Специалист]],Таблица1[[Ставка НДС]:[Ставка НДС]]),0))</f>
        <v>0</v>
      </c>
      <c r="BV27" s="70" cm="1">
        <f t="array" ref="BV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проекта'!BV$1)/(1+IFERROR(_xlfn.XLOOKUP($A27,Таблица1[[Специалист]:[Специалист]],Таблица1[[Ставка НДС]:[Ставка НДС]]),0))</f>
        <v>0</v>
      </c>
      <c r="BW27" s="70" cm="1">
        <f t="array" ref="BW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проекта'!BW$1)/(1+IFERROR(_xlfn.XLOOKUP($A27,Таблица1[[Специалист]:[Специалист]],Таблица1[[Ставка НДС]:[Ставка НДС]]),0))</f>
        <v>0</v>
      </c>
      <c r="BX27" s="70" cm="1">
        <f t="array" ref="BX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проекта'!BX$1)/(1+IFERROR(_xlfn.XLOOKUP($A27,Таблица1[[Специалист]:[Специалист]],Таблица1[[Ставка НДС]:[Ставка НДС]]),0))</f>
        <v>0</v>
      </c>
      <c r="BY27" s="70" cm="1">
        <f t="array" ref="BY27">SUMIFS(Таблица1[[Итого со страховыми]:[Итого со страховыми]],Таблица1[[Специалист]:[Специалист]],'шаблон расчета проекта'!$A27,Таблица1[[Прогнозный месяц подписания Акта]:[Прогнозный месяц подписания Акта]],'шаблон расчета проекта'!BY$1)/(1+IFERROR(_xlfn.XLOOKUP($A27,Таблица1[[Специалист]:[Специалист]],Таблица1[[Ставка НДС]:[Ставка НДС]]),0))</f>
        <v>0</v>
      </c>
      <c r="BZ27" s="71">
        <f t="shared" si="5"/>
        <v>0</v>
      </c>
      <c r="CA27" s="51"/>
    </row>
    <row r="28" spans="1:79" x14ac:dyDescent="0.3">
      <c r="A28" s="54">
        <f t="shared" si="4"/>
        <v>0</v>
      </c>
      <c r="B28" s="68" t="str">
        <f t="shared" si="4"/>
        <v/>
      </c>
      <c r="C28" s="69">
        <f t="shared" si="4"/>
        <v>0</v>
      </c>
      <c r="D28" s="57">
        <f t="shared" si="4"/>
        <v>0</v>
      </c>
      <c r="E28" s="58">
        <f t="shared" si="4"/>
        <v>0</v>
      </c>
      <c r="F28" s="70" cm="1">
        <f t="array" ref="F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проекта'!F$1)/(1+IFERROR(_xlfn.XLOOKUP($A28,Таблица1[[Специалист]:[Специалист]],Таблица1[[Ставка НДС]:[Ставка НДС]]),0))</f>
        <v>0</v>
      </c>
      <c r="G28" s="70" cm="1">
        <f t="array" ref="G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проекта'!G$1)/(1+IFERROR(_xlfn.XLOOKUP($A28,Таблица1[[Специалист]:[Специалист]],Таблица1[[Ставка НДС]:[Ставка НДС]]),0))</f>
        <v>0</v>
      </c>
      <c r="H28" s="70" cm="1">
        <f t="array" ref="H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проекта'!H$1)/(1+IFERROR(_xlfn.XLOOKUP($A28,Таблица1[[Специалист]:[Специалист]],Таблица1[[Ставка НДС]:[Ставка НДС]]),0))</f>
        <v>0</v>
      </c>
      <c r="I28" s="70" cm="1">
        <f t="array" ref="I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проекта'!I$1)/(1+IFERROR(_xlfn.XLOOKUP($A28,Таблица1[[Специалист]:[Специалист]],Таблица1[[Ставка НДС]:[Ставка НДС]]),0))</f>
        <v>0</v>
      </c>
      <c r="J28" s="70" cm="1">
        <f t="array" ref="J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проекта'!J$1)/(1+IFERROR(_xlfn.XLOOKUP($A28,Таблица1[[Специалист]:[Специалист]],Таблица1[[Ставка НДС]:[Ставка НДС]]),0))</f>
        <v>0</v>
      </c>
      <c r="K28" s="70" cm="1">
        <f t="array" ref="K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проекта'!K$1)/(1+IFERROR(_xlfn.XLOOKUP($A28,Таблица1[[Специалист]:[Специалист]],Таблица1[[Ставка НДС]:[Ставка НДС]]),0))</f>
        <v>0</v>
      </c>
      <c r="L28" s="70" cm="1">
        <f t="array" ref="L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проекта'!L$1)/(1+IFERROR(_xlfn.XLOOKUP($A28,Таблица1[[Специалист]:[Специалист]],Таблица1[[Ставка НДС]:[Ставка НДС]]),0))</f>
        <v>0</v>
      </c>
      <c r="M28" s="70" cm="1">
        <f t="array" ref="M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проекта'!M$1)/(1+IFERROR(_xlfn.XLOOKUP($A28,Таблица1[[Специалист]:[Специалист]],Таблица1[[Ставка НДС]:[Ставка НДС]]),0))</f>
        <v>0</v>
      </c>
      <c r="N28" s="70" cm="1">
        <f t="array" ref="N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проекта'!N$1)/(1+IFERROR(_xlfn.XLOOKUP($A28,Таблица1[[Специалист]:[Специалист]],Таблица1[[Ставка НДС]:[Ставка НДС]]),0))</f>
        <v>0</v>
      </c>
      <c r="O28" s="70" cm="1">
        <f t="array" ref="O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проекта'!O$1)/(1+IFERROR(_xlfn.XLOOKUP($A28,Таблица1[[Специалист]:[Специалист]],Таблица1[[Ставка НДС]:[Ставка НДС]]),0))</f>
        <v>0</v>
      </c>
      <c r="P28" s="70" cm="1">
        <f t="array" ref="P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проекта'!P$1)/(1+IFERROR(_xlfn.XLOOKUP($A28,Таблица1[[Специалист]:[Специалист]],Таблица1[[Ставка НДС]:[Ставка НДС]]),0))</f>
        <v>0</v>
      </c>
      <c r="Q28" s="70" cm="1">
        <f t="array" ref="Q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проекта'!Q$1)/(1+IFERROR(_xlfn.XLOOKUP($A28,Таблица1[[Специалист]:[Специалист]],Таблица1[[Ставка НДС]:[Ставка НДС]]),0))</f>
        <v>0</v>
      </c>
      <c r="R28" s="70" cm="1">
        <f t="array" ref="R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проекта'!R$1)/(1+IFERROR(_xlfn.XLOOKUP($A28,Таблица1[[Специалист]:[Специалист]],Таблица1[[Ставка НДС]:[Ставка НДС]]),0))</f>
        <v>0</v>
      </c>
      <c r="S28" s="70" cm="1">
        <f t="array" ref="S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проекта'!S$1)/(1+IFERROR(_xlfn.XLOOKUP($A28,Таблица1[[Специалист]:[Специалист]],Таблица1[[Ставка НДС]:[Ставка НДС]]),0))</f>
        <v>0</v>
      </c>
      <c r="T28" s="70" cm="1">
        <f t="array" ref="T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проекта'!T$1)/(1+IFERROR(_xlfn.XLOOKUP($A28,Таблица1[[Специалист]:[Специалист]],Таблица1[[Ставка НДС]:[Ставка НДС]]),0))</f>
        <v>0</v>
      </c>
      <c r="U28" s="70" cm="1">
        <f t="array" ref="U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проекта'!U$1)/(1+IFERROR(_xlfn.XLOOKUP($A28,Таблица1[[Специалист]:[Специалист]],Таблица1[[Ставка НДС]:[Ставка НДС]]),0))</f>
        <v>0</v>
      </c>
      <c r="V28" s="70" cm="1">
        <f t="array" ref="V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проекта'!V$1)/(1+IFERROR(_xlfn.XLOOKUP($A28,Таблица1[[Специалист]:[Специалист]],Таблица1[[Ставка НДС]:[Ставка НДС]]),0))</f>
        <v>0</v>
      </c>
      <c r="W28" s="70" cm="1">
        <f t="array" ref="W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проекта'!W$1)/(1+IFERROR(_xlfn.XLOOKUP($A28,Таблица1[[Специалист]:[Специалист]],Таблица1[[Ставка НДС]:[Ставка НДС]]),0))</f>
        <v>0</v>
      </c>
      <c r="X28" s="70" cm="1">
        <f t="array" ref="X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проекта'!X$1)/(1+IFERROR(_xlfn.XLOOKUP($A28,Таблица1[[Специалист]:[Специалист]],Таблица1[[Ставка НДС]:[Ставка НДС]]),0))</f>
        <v>0</v>
      </c>
      <c r="Y28" s="70" cm="1">
        <f t="array" ref="Y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проекта'!Y$1)/(1+IFERROR(_xlfn.XLOOKUP($A28,Таблица1[[Специалист]:[Специалист]],Таблица1[[Ставка НДС]:[Ставка НДС]]),0))</f>
        <v>0</v>
      </c>
      <c r="Z28" s="70" cm="1">
        <f t="array" ref="Z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проекта'!Z$1)/(1+IFERROR(_xlfn.XLOOKUP($A28,Таблица1[[Специалист]:[Специалист]],Таблица1[[Ставка НДС]:[Ставка НДС]]),0))</f>
        <v>0</v>
      </c>
      <c r="AA28" s="70" cm="1">
        <f t="array" ref="AA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проекта'!AA$1)/(1+IFERROR(_xlfn.XLOOKUP($A28,Таблица1[[Специалист]:[Специалист]],Таблица1[[Ставка НДС]:[Ставка НДС]]),0))</f>
        <v>0</v>
      </c>
      <c r="AB28" s="70" cm="1">
        <f t="array" ref="AB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проекта'!AB$1)/(1+IFERROR(_xlfn.XLOOKUP($A28,Таблица1[[Специалист]:[Специалист]],Таблица1[[Ставка НДС]:[Ставка НДС]]),0))</f>
        <v>0</v>
      </c>
      <c r="AC28" s="70" cm="1">
        <f t="array" ref="AC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проекта'!AC$1)/(1+IFERROR(_xlfn.XLOOKUP($A28,Таблица1[[Специалист]:[Специалист]],Таблица1[[Ставка НДС]:[Ставка НДС]]),0))</f>
        <v>0</v>
      </c>
      <c r="AD28" s="70" cm="1">
        <f t="array" ref="AD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проекта'!AD$1)/(1+IFERROR(_xlfn.XLOOKUP($A28,Таблица1[[Специалист]:[Специалист]],Таблица1[[Ставка НДС]:[Ставка НДС]]),0))</f>
        <v>0</v>
      </c>
      <c r="AE28" s="70" cm="1">
        <f t="array" ref="AE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проекта'!AE$1)/(1+IFERROR(_xlfn.XLOOKUP($A28,Таблица1[[Специалист]:[Специалист]],Таблица1[[Ставка НДС]:[Ставка НДС]]),0))</f>
        <v>0</v>
      </c>
      <c r="AF28" s="70" cm="1">
        <f t="array" ref="AF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проекта'!AF$1)/(1+IFERROR(_xlfn.XLOOKUP($A28,Таблица1[[Специалист]:[Специалист]],Таблица1[[Ставка НДС]:[Ставка НДС]]),0))</f>
        <v>0</v>
      </c>
      <c r="AG28" s="70" cm="1">
        <f t="array" ref="AG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проекта'!AG$1)/(1+IFERROR(_xlfn.XLOOKUP($A28,Таблица1[[Специалист]:[Специалист]],Таблица1[[Ставка НДС]:[Ставка НДС]]),0))</f>
        <v>0</v>
      </c>
      <c r="AH28" s="70" cm="1">
        <f t="array" ref="AH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проекта'!AH$1)/(1+IFERROR(_xlfn.XLOOKUP($A28,Таблица1[[Специалист]:[Специалист]],Таблица1[[Ставка НДС]:[Ставка НДС]]),0))</f>
        <v>0</v>
      </c>
      <c r="AI28" s="70" cm="1">
        <f t="array" ref="AI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проекта'!AI$1)/(1+IFERROR(_xlfn.XLOOKUP($A28,Таблица1[[Специалист]:[Специалист]],Таблица1[[Ставка НДС]:[Ставка НДС]]),0))</f>
        <v>0</v>
      </c>
      <c r="AJ28" s="70" cm="1">
        <f t="array" ref="AJ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проекта'!AJ$1)/(1+IFERROR(_xlfn.XLOOKUP($A28,Таблица1[[Специалист]:[Специалист]],Таблица1[[Ставка НДС]:[Ставка НДС]]),0))</f>
        <v>0</v>
      </c>
      <c r="AK28" s="70" cm="1">
        <f t="array" ref="AK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проекта'!AK$1)/(1+IFERROR(_xlfn.XLOOKUP($A28,Таблица1[[Специалист]:[Специалист]],Таблица1[[Ставка НДС]:[Ставка НДС]]),0))</f>
        <v>0</v>
      </c>
      <c r="AL28" s="70" cm="1">
        <f t="array" ref="AL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проекта'!AL$1)/(1+IFERROR(_xlfn.XLOOKUP($A28,Таблица1[[Специалист]:[Специалист]],Таблица1[[Ставка НДС]:[Ставка НДС]]),0))</f>
        <v>0</v>
      </c>
      <c r="AM28" s="70" cm="1">
        <f t="array" ref="AM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проекта'!AM$1)/(1+IFERROR(_xlfn.XLOOKUP($A28,Таблица1[[Специалист]:[Специалист]],Таблица1[[Ставка НДС]:[Ставка НДС]]),0))</f>
        <v>0</v>
      </c>
      <c r="AN28" s="70" cm="1">
        <f t="array" ref="AN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проекта'!AN$1)/(1+IFERROR(_xlfn.XLOOKUP($A28,Таблица1[[Специалист]:[Специалист]],Таблица1[[Ставка НДС]:[Ставка НДС]]),0))</f>
        <v>0</v>
      </c>
      <c r="AO28" s="70" cm="1">
        <f t="array" ref="AO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проекта'!AO$1)/(1+IFERROR(_xlfn.XLOOKUP($A28,Таблица1[[Специалист]:[Специалист]],Таблица1[[Ставка НДС]:[Ставка НДС]]),0))</f>
        <v>0</v>
      </c>
      <c r="AP28" s="70" cm="1">
        <f t="array" ref="AP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проекта'!AP$1)/(1+IFERROR(_xlfn.XLOOKUP($A28,Таблица1[[Специалист]:[Специалист]],Таблица1[[Ставка НДС]:[Ставка НДС]]),0))</f>
        <v>0</v>
      </c>
      <c r="AQ28" s="70" cm="1">
        <f t="array" ref="AQ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проекта'!AQ$1)/(1+IFERROR(_xlfn.XLOOKUP($A28,Таблица1[[Специалист]:[Специалист]],Таблица1[[Ставка НДС]:[Ставка НДС]]),0))</f>
        <v>0</v>
      </c>
      <c r="AR28" s="70" cm="1">
        <f t="array" ref="AR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проекта'!AR$1)/(1+IFERROR(_xlfn.XLOOKUP($A28,Таблица1[[Специалист]:[Специалист]],Таблица1[[Ставка НДС]:[Ставка НДС]]),0))</f>
        <v>0</v>
      </c>
      <c r="AS28" s="70" cm="1">
        <f t="array" ref="AS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проекта'!AS$1)/(1+IFERROR(_xlfn.XLOOKUP($A28,Таблица1[[Специалист]:[Специалист]],Таблица1[[Ставка НДС]:[Ставка НДС]]),0))</f>
        <v>0</v>
      </c>
      <c r="AT28" s="70" cm="1">
        <f t="array" ref="AT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проекта'!AT$1)/(1+IFERROR(_xlfn.XLOOKUP($A28,Таблица1[[Специалист]:[Специалист]],Таблица1[[Ставка НДС]:[Ставка НДС]]),0))</f>
        <v>0</v>
      </c>
      <c r="AU28" s="70" cm="1">
        <f t="array" ref="AU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проекта'!AU$1)/(1+IFERROR(_xlfn.XLOOKUP($A28,Таблица1[[Специалист]:[Специалист]],Таблица1[[Ставка НДС]:[Ставка НДС]]),0))</f>
        <v>0</v>
      </c>
      <c r="AV28" s="70" cm="1">
        <f t="array" ref="AV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проекта'!AV$1)/(1+IFERROR(_xlfn.XLOOKUP($A28,Таблица1[[Специалист]:[Специалист]],Таблица1[[Ставка НДС]:[Ставка НДС]]),0))</f>
        <v>0</v>
      </c>
      <c r="AW28" s="70" cm="1">
        <f t="array" ref="AW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проекта'!AW$1)/(1+IFERROR(_xlfn.XLOOKUP($A28,Таблица1[[Специалист]:[Специалист]],Таблица1[[Ставка НДС]:[Ставка НДС]]),0))</f>
        <v>0</v>
      </c>
      <c r="AX28" s="70" cm="1">
        <f t="array" ref="AX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проекта'!AX$1)/(1+IFERROR(_xlfn.XLOOKUP($A28,Таблица1[[Специалист]:[Специалист]],Таблица1[[Ставка НДС]:[Ставка НДС]]),0))</f>
        <v>0</v>
      </c>
      <c r="AY28" s="70" cm="1">
        <f t="array" ref="AY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проекта'!AY$1)/(1+IFERROR(_xlfn.XLOOKUP($A28,Таблица1[[Специалист]:[Специалист]],Таблица1[[Ставка НДС]:[Ставка НДС]]),0))</f>
        <v>0</v>
      </c>
      <c r="AZ28" s="70" cm="1">
        <f t="array" ref="AZ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проекта'!AZ$1)/(1+IFERROR(_xlfn.XLOOKUP($A28,Таблица1[[Специалист]:[Специалист]],Таблица1[[Ставка НДС]:[Ставка НДС]]),0))</f>
        <v>0</v>
      </c>
      <c r="BA28" s="70" cm="1">
        <f t="array" ref="BA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проекта'!BA$1)/(1+IFERROR(_xlfn.XLOOKUP($A28,Таблица1[[Специалист]:[Специалист]],Таблица1[[Ставка НДС]:[Ставка НДС]]),0))</f>
        <v>0</v>
      </c>
      <c r="BB28" s="70" cm="1">
        <f t="array" ref="BB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проекта'!BB$1)/(1+IFERROR(_xlfn.XLOOKUP($A28,Таблица1[[Специалист]:[Специалист]],Таблица1[[Ставка НДС]:[Ставка НДС]]),0))</f>
        <v>0</v>
      </c>
      <c r="BC28" s="70" cm="1">
        <f t="array" ref="BC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проекта'!BC$1)/(1+IFERROR(_xlfn.XLOOKUP($A28,Таблица1[[Специалист]:[Специалист]],Таблица1[[Ставка НДС]:[Ставка НДС]]),0))</f>
        <v>0</v>
      </c>
      <c r="BD28" s="70" cm="1">
        <f t="array" ref="BD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проекта'!BD$1)/(1+IFERROR(_xlfn.XLOOKUP($A28,Таблица1[[Специалист]:[Специалист]],Таблица1[[Ставка НДС]:[Ставка НДС]]),0))</f>
        <v>0</v>
      </c>
      <c r="BE28" s="70" cm="1">
        <f t="array" ref="BE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проекта'!BE$1)/(1+IFERROR(_xlfn.XLOOKUP($A28,Таблица1[[Специалист]:[Специалист]],Таблица1[[Ставка НДС]:[Ставка НДС]]),0))</f>
        <v>0</v>
      </c>
      <c r="BF28" s="70" cm="1">
        <f t="array" ref="BF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проекта'!BF$1)/(1+IFERROR(_xlfn.XLOOKUP($A28,Таблица1[[Специалист]:[Специалист]],Таблица1[[Ставка НДС]:[Ставка НДС]]),0))</f>
        <v>0</v>
      </c>
      <c r="BG28" s="70" cm="1">
        <f t="array" ref="BG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проекта'!BG$1)/(1+IFERROR(_xlfn.XLOOKUP($A28,Таблица1[[Специалист]:[Специалист]],Таблица1[[Ставка НДС]:[Ставка НДС]]),0))</f>
        <v>0</v>
      </c>
      <c r="BH28" s="70" cm="1">
        <f t="array" ref="BH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проекта'!BH$1)/(1+IFERROR(_xlfn.XLOOKUP($A28,Таблица1[[Специалист]:[Специалист]],Таблица1[[Ставка НДС]:[Ставка НДС]]),0))</f>
        <v>0</v>
      </c>
      <c r="BI28" s="70" cm="1">
        <f t="array" ref="BI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проекта'!BI$1)/(1+IFERROR(_xlfn.XLOOKUP($A28,Таблица1[[Специалист]:[Специалист]],Таблица1[[Ставка НДС]:[Ставка НДС]]),0))</f>
        <v>0</v>
      </c>
      <c r="BJ28" s="70" cm="1">
        <f t="array" ref="BJ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проекта'!BJ$1)/(1+IFERROR(_xlfn.XLOOKUP($A28,Таблица1[[Специалист]:[Специалист]],Таблица1[[Ставка НДС]:[Ставка НДС]]),0))</f>
        <v>0</v>
      </c>
      <c r="BK28" s="70" cm="1">
        <f t="array" ref="BK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проекта'!BK$1)/(1+IFERROR(_xlfn.XLOOKUP($A28,Таблица1[[Специалист]:[Специалист]],Таблица1[[Ставка НДС]:[Ставка НДС]]),0))</f>
        <v>0</v>
      </c>
      <c r="BL28" s="70" cm="1">
        <f t="array" ref="BL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проекта'!BL$1)/(1+IFERROR(_xlfn.XLOOKUP($A28,Таблица1[[Специалист]:[Специалист]],Таблица1[[Ставка НДС]:[Ставка НДС]]),0))</f>
        <v>0</v>
      </c>
      <c r="BM28" s="70" cm="1">
        <f t="array" ref="BM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проекта'!BM$1)/(1+IFERROR(_xlfn.XLOOKUP($A28,Таблица1[[Специалист]:[Специалист]],Таблица1[[Ставка НДС]:[Ставка НДС]]),0))</f>
        <v>0</v>
      </c>
      <c r="BN28" s="70" cm="1">
        <f t="array" ref="BN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проекта'!BN$1)/(1+IFERROR(_xlfn.XLOOKUP($A28,Таблица1[[Специалист]:[Специалист]],Таблица1[[Ставка НДС]:[Ставка НДС]]),0))</f>
        <v>0</v>
      </c>
      <c r="BO28" s="70" cm="1">
        <f t="array" ref="BO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проекта'!BO$1)/(1+IFERROR(_xlfn.XLOOKUP($A28,Таблица1[[Специалист]:[Специалист]],Таблица1[[Ставка НДС]:[Ставка НДС]]),0))</f>
        <v>0</v>
      </c>
      <c r="BP28" s="70" cm="1">
        <f t="array" ref="BP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проекта'!BP$1)/(1+IFERROR(_xlfn.XLOOKUP($A28,Таблица1[[Специалист]:[Специалист]],Таблица1[[Ставка НДС]:[Ставка НДС]]),0))</f>
        <v>0</v>
      </c>
      <c r="BQ28" s="70" cm="1">
        <f t="array" ref="BQ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проекта'!BQ$1)/(1+IFERROR(_xlfn.XLOOKUP($A28,Таблица1[[Специалист]:[Специалист]],Таблица1[[Ставка НДС]:[Ставка НДС]]),0))</f>
        <v>0</v>
      </c>
      <c r="BR28" s="70" cm="1">
        <f t="array" ref="BR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проекта'!BR$1)/(1+IFERROR(_xlfn.XLOOKUP($A28,Таблица1[[Специалист]:[Специалист]],Таблица1[[Ставка НДС]:[Ставка НДС]]),0))</f>
        <v>0</v>
      </c>
      <c r="BS28" s="70" cm="1">
        <f t="array" ref="BS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проекта'!BS$1)/(1+IFERROR(_xlfn.XLOOKUP($A28,Таблица1[[Специалист]:[Специалист]],Таблица1[[Ставка НДС]:[Ставка НДС]]),0))</f>
        <v>0</v>
      </c>
      <c r="BT28" s="70" cm="1">
        <f t="array" ref="BT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проекта'!BT$1)/(1+IFERROR(_xlfn.XLOOKUP($A28,Таблица1[[Специалист]:[Специалист]],Таблица1[[Ставка НДС]:[Ставка НДС]]),0))</f>
        <v>0</v>
      </c>
      <c r="BU28" s="70" cm="1">
        <f t="array" ref="BU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проекта'!BU$1)/(1+IFERROR(_xlfn.XLOOKUP($A28,Таблица1[[Специалист]:[Специалист]],Таблица1[[Ставка НДС]:[Ставка НДС]]),0))</f>
        <v>0</v>
      </c>
      <c r="BV28" s="70" cm="1">
        <f t="array" ref="BV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проекта'!BV$1)/(1+IFERROR(_xlfn.XLOOKUP($A28,Таблица1[[Специалист]:[Специалист]],Таблица1[[Ставка НДС]:[Ставка НДС]]),0))</f>
        <v>0</v>
      </c>
      <c r="BW28" s="70" cm="1">
        <f t="array" ref="BW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проекта'!BW$1)/(1+IFERROR(_xlfn.XLOOKUP($A28,Таблица1[[Специалист]:[Специалист]],Таблица1[[Ставка НДС]:[Ставка НДС]]),0))</f>
        <v>0</v>
      </c>
      <c r="BX28" s="70" cm="1">
        <f t="array" ref="BX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проекта'!BX$1)/(1+IFERROR(_xlfn.XLOOKUP($A28,Таблица1[[Специалист]:[Специалист]],Таблица1[[Ставка НДС]:[Ставка НДС]]),0))</f>
        <v>0</v>
      </c>
      <c r="BY28" s="70" cm="1">
        <f t="array" ref="BY28">SUMIFS(Таблица1[[Итого со страховыми]:[Итого со страховыми]],Таблица1[[Специалист]:[Специалист]],'шаблон расчета проекта'!$A28,Таблица1[[Прогнозный месяц подписания Акта]:[Прогнозный месяц подписания Акта]],'шаблон расчета проекта'!BY$1)/(1+IFERROR(_xlfn.XLOOKUP($A28,Таблица1[[Специалист]:[Специалист]],Таблица1[[Ставка НДС]:[Ставка НДС]]),0))</f>
        <v>0</v>
      </c>
      <c r="BZ28" s="71">
        <f t="shared" si="5"/>
        <v>0</v>
      </c>
      <c r="CA28" s="51"/>
    </row>
    <row r="29" spans="1:79" x14ac:dyDescent="0.3">
      <c r="A29" s="54">
        <f t="shared" si="4"/>
        <v>0</v>
      </c>
      <c r="B29" s="68" t="str">
        <f t="shared" si="4"/>
        <v/>
      </c>
      <c r="C29" s="69">
        <f t="shared" si="4"/>
        <v>0</v>
      </c>
      <c r="D29" s="57">
        <f t="shared" si="4"/>
        <v>0</v>
      </c>
      <c r="E29" s="58">
        <f t="shared" si="4"/>
        <v>0</v>
      </c>
      <c r="F29" s="70" cm="1">
        <f t="array" ref="F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проекта'!F$1)/(1+IFERROR(_xlfn.XLOOKUP($A29,Таблица1[[Специалист]:[Специалист]],Таблица1[[Ставка НДС]:[Ставка НДС]]),0))</f>
        <v>0</v>
      </c>
      <c r="G29" s="70" cm="1">
        <f t="array" ref="G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проекта'!G$1)/(1+IFERROR(_xlfn.XLOOKUP($A29,Таблица1[[Специалист]:[Специалист]],Таблица1[[Ставка НДС]:[Ставка НДС]]),0))</f>
        <v>0</v>
      </c>
      <c r="H29" s="70" cm="1">
        <f t="array" ref="H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проекта'!H$1)/(1+IFERROR(_xlfn.XLOOKUP($A29,Таблица1[[Специалист]:[Специалист]],Таблица1[[Ставка НДС]:[Ставка НДС]]),0))</f>
        <v>0</v>
      </c>
      <c r="I29" s="70" cm="1">
        <f t="array" ref="I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проекта'!I$1)/(1+IFERROR(_xlfn.XLOOKUP($A29,Таблица1[[Специалист]:[Специалист]],Таблица1[[Ставка НДС]:[Ставка НДС]]),0))</f>
        <v>0</v>
      </c>
      <c r="J29" s="70" cm="1">
        <f t="array" ref="J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проекта'!J$1)/(1+IFERROR(_xlfn.XLOOKUP($A29,Таблица1[[Специалист]:[Специалист]],Таблица1[[Ставка НДС]:[Ставка НДС]]),0))</f>
        <v>0</v>
      </c>
      <c r="K29" s="70" cm="1">
        <f t="array" ref="K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проекта'!K$1)/(1+IFERROR(_xlfn.XLOOKUP($A29,Таблица1[[Специалист]:[Специалист]],Таблица1[[Ставка НДС]:[Ставка НДС]]),0))</f>
        <v>0</v>
      </c>
      <c r="L29" s="70" cm="1">
        <f t="array" ref="L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проекта'!L$1)/(1+IFERROR(_xlfn.XLOOKUP($A29,Таблица1[[Специалист]:[Специалист]],Таблица1[[Ставка НДС]:[Ставка НДС]]),0))</f>
        <v>0</v>
      </c>
      <c r="M29" s="70" cm="1">
        <f t="array" ref="M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проекта'!M$1)/(1+IFERROR(_xlfn.XLOOKUP($A29,Таблица1[[Специалист]:[Специалист]],Таблица1[[Ставка НДС]:[Ставка НДС]]),0))</f>
        <v>0</v>
      </c>
      <c r="N29" s="70" cm="1">
        <f t="array" ref="N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проекта'!N$1)/(1+IFERROR(_xlfn.XLOOKUP($A29,Таблица1[[Специалист]:[Специалист]],Таблица1[[Ставка НДС]:[Ставка НДС]]),0))</f>
        <v>0</v>
      </c>
      <c r="O29" s="70" cm="1">
        <f t="array" ref="O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проекта'!O$1)/(1+IFERROR(_xlfn.XLOOKUP($A29,Таблица1[[Специалист]:[Специалист]],Таблица1[[Ставка НДС]:[Ставка НДС]]),0))</f>
        <v>0</v>
      </c>
      <c r="P29" s="70" cm="1">
        <f t="array" ref="P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проекта'!P$1)/(1+IFERROR(_xlfn.XLOOKUP($A29,Таблица1[[Специалист]:[Специалист]],Таблица1[[Ставка НДС]:[Ставка НДС]]),0))</f>
        <v>0</v>
      </c>
      <c r="Q29" s="70" cm="1">
        <f t="array" ref="Q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проекта'!Q$1)/(1+IFERROR(_xlfn.XLOOKUP($A29,Таблица1[[Специалист]:[Специалист]],Таблица1[[Ставка НДС]:[Ставка НДС]]),0))</f>
        <v>0</v>
      </c>
      <c r="R29" s="70" cm="1">
        <f t="array" ref="R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проекта'!R$1)/(1+IFERROR(_xlfn.XLOOKUP($A29,Таблица1[[Специалист]:[Специалист]],Таблица1[[Ставка НДС]:[Ставка НДС]]),0))</f>
        <v>0</v>
      </c>
      <c r="S29" s="70" cm="1">
        <f t="array" ref="S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проекта'!S$1)/(1+IFERROR(_xlfn.XLOOKUP($A29,Таблица1[[Специалист]:[Специалист]],Таблица1[[Ставка НДС]:[Ставка НДС]]),0))</f>
        <v>0</v>
      </c>
      <c r="T29" s="70" cm="1">
        <f t="array" ref="T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проекта'!T$1)/(1+IFERROR(_xlfn.XLOOKUP($A29,Таблица1[[Специалист]:[Специалист]],Таблица1[[Ставка НДС]:[Ставка НДС]]),0))</f>
        <v>0</v>
      </c>
      <c r="U29" s="70" cm="1">
        <f t="array" ref="U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проекта'!U$1)/(1+IFERROR(_xlfn.XLOOKUP($A29,Таблица1[[Специалист]:[Специалист]],Таблица1[[Ставка НДС]:[Ставка НДС]]),0))</f>
        <v>0</v>
      </c>
      <c r="V29" s="70" cm="1">
        <f t="array" ref="V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проекта'!V$1)/(1+IFERROR(_xlfn.XLOOKUP($A29,Таблица1[[Специалист]:[Специалист]],Таблица1[[Ставка НДС]:[Ставка НДС]]),0))</f>
        <v>0</v>
      </c>
      <c r="W29" s="70" cm="1">
        <f t="array" ref="W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проекта'!W$1)/(1+IFERROR(_xlfn.XLOOKUP($A29,Таблица1[[Специалист]:[Специалист]],Таблица1[[Ставка НДС]:[Ставка НДС]]),0))</f>
        <v>0</v>
      </c>
      <c r="X29" s="70" cm="1">
        <f t="array" ref="X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проекта'!X$1)/(1+IFERROR(_xlfn.XLOOKUP($A29,Таблица1[[Специалист]:[Специалист]],Таблица1[[Ставка НДС]:[Ставка НДС]]),0))</f>
        <v>0</v>
      </c>
      <c r="Y29" s="70" cm="1">
        <f t="array" ref="Y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проекта'!Y$1)/(1+IFERROR(_xlfn.XLOOKUP($A29,Таблица1[[Специалист]:[Специалист]],Таблица1[[Ставка НДС]:[Ставка НДС]]),0))</f>
        <v>0</v>
      </c>
      <c r="Z29" s="70" cm="1">
        <f t="array" ref="Z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проекта'!Z$1)/(1+IFERROR(_xlfn.XLOOKUP($A29,Таблица1[[Специалист]:[Специалист]],Таблица1[[Ставка НДС]:[Ставка НДС]]),0))</f>
        <v>0</v>
      </c>
      <c r="AA29" s="70" cm="1">
        <f t="array" ref="AA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проекта'!AA$1)/(1+IFERROR(_xlfn.XLOOKUP($A29,Таблица1[[Специалист]:[Специалист]],Таблица1[[Ставка НДС]:[Ставка НДС]]),0))</f>
        <v>0</v>
      </c>
      <c r="AB29" s="70" cm="1">
        <f t="array" ref="AB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проекта'!AB$1)/(1+IFERROR(_xlfn.XLOOKUP($A29,Таблица1[[Специалист]:[Специалист]],Таблица1[[Ставка НДС]:[Ставка НДС]]),0))</f>
        <v>0</v>
      </c>
      <c r="AC29" s="70" cm="1">
        <f t="array" ref="AC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проекта'!AC$1)/(1+IFERROR(_xlfn.XLOOKUP($A29,Таблица1[[Специалист]:[Специалист]],Таблица1[[Ставка НДС]:[Ставка НДС]]),0))</f>
        <v>0</v>
      </c>
      <c r="AD29" s="70" cm="1">
        <f t="array" ref="AD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проекта'!AD$1)/(1+IFERROR(_xlfn.XLOOKUP($A29,Таблица1[[Специалист]:[Специалист]],Таблица1[[Ставка НДС]:[Ставка НДС]]),0))</f>
        <v>0</v>
      </c>
      <c r="AE29" s="70" cm="1">
        <f t="array" ref="AE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проекта'!AE$1)/(1+IFERROR(_xlfn.XLOOKUP($A29,Таблица1[[Специалист]:[Специалист]],Таблица1[[Ставка НДС]:[Ставка НДС]]),0))</f>
        <v>0</v>
      </c>
      <c r="AF29" s="70" cm="1">
        <f t="array" ref="AF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проекта'!AF$1)/(1+IFERROR(_xlfn.XLOOKUP($A29,Таблица1[[Специалист]:[Специалист]],Таблица1[[Ставка НДС]:[Ставка НДС]]),0))</f>
        <v>0</v>
      </c>
      <c r="AG29" s="70" cm="1">
        <f t="array" ref="AG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проекта'!AG$1)/(1+IFERROR(_xlfn.XLOOKUP($A29,Таблица1[[Специалист]:[Специалист]],Таблица1[[Ставка НДС]:[Ставка НДС]]),0))</f>
        <v>0</v>
      </c>
      <c r="AH29" s="70" cm="1">
        <f t="array" ref="AH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проекта'!AH$1)/(1+IFERROR(_xlfn.XLOOKUP($A29,Таблица1[[Специалист]:[Специалист]],Таблица1[[Ставка НДС]:[Ставка НДС]]),0))</f>
        <v>0</v>
      </c>
      <c r="AI29" s="70" cm="1">
        <f t="array" ref="AI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проекта'!AI$1)/(1+IFERROR(_xlfn.XLOOKUP($A29,Таблица1[[Специалист]:[Специалист]],Таблица1[[Ставка НДС]:[Ставка НДС]]),0))</f>
        <v>0</v>
      </c>
      <c r="AJ29" s="70" cm="1">
        <f t="array" ref="AJ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проекта'!AJ$1)/(1+IFERROR(_xlfn.XLOOKUP($A29,Таблица1[[Специалист]:[Специалист]],Таблица1[[Ставка НДС]:[Ставка НДС]]),0))</f>
        <v>0</v>
      </c>
      <c r="AK29" s="70" cm="1">
        <f t="array" ref="AK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проекта'!AK$1)/(1+IFERROR(_xlfn.XLOOKUP($A29,Таблица1[[Специалист]:[Специалист]],Таблица1[[Ставка НДС]:[Ставка НДС]]),0))</f>
        <v>0</v>
      </c>
      <c r="AL29" s="70" cm="1">
        <f t="array" ref="AL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проекта'!AL$1)/(1+IFERROR(_xlfn.XLOOKUP($A29,Таблица1[[Специалист]:[Специалист]],Таблица1[[Ставка НДС]:[Ставка НДС]]),0))</f>
        <v>0</v>
      </c>
      <c r="AM29" s="70" cm="1">
        <f t="array" ref="AM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проекта'!AM$1)/(1+IFERROR(_xlfn.XLOOKUP($A29,Таблица1[[Специалист]:[Специалист]],Таблица1[[Ставка НДС]:[Ставка НДС]]),0))</f>
        <v>0</v>
      </c>
      <c r="AN29" s="70" cm="1">
        <f t="array" ref="AN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проекта'!AN$1)/(1+IFERROR(_xlfn.XLOOKUP($A29,Таблица1[[Специалист]:[Специалист]],Таблица1[[Ставка НДС]:[Ставка НДС]]),0))</f>
        <v>0</v>
      </c>
      <c r="AO29" s="70" cm="1">
        <f t="array" ref="AO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проекта'!AO$1)/(1+IFERROR(_xlfn.XLOOKUP($A29,Таблица1[[Специалист]:[Специалист]],Таблица1[[Ставка НДС]:[Ставка НДС]]),0))</f>
        <v>0</v>
      </c>
      <c r="AP29" s="70" cm="1">
        <f t="array" ref="AP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проекта'!AP$1)/(1+IFERROR(_xlfn.XLOOKUP($A29,Таблица1[[Специалист]:[Специалист]],Таблица1[[Ставка НДС]:[Ставка НДС]]),0))</f>
        <v>0</v>
      </c>
      <c r="AQ29" s="70" cm="1">
        <f t="array" ref="AQ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проекта'!AQ$1)/(1+IFERROR(_xlfn.XLOOKUP($A29,Таблица1[[Специалист]:[Специалист]],Таблица1[[Ставка НДС]:[Ставка НДС]]),0))</f>
        <v>0</v>
      </c>
      <c r="AR29" s="70" cm="1">
        <f t="array" ref="AR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проекта'!AR$1)/(1+IFERROR(_xlfn.XLOOKUP($A29,Таблица1[[Специалист]:[Специалист]],Таблица1[[Ставка НДС]:[Ставка НДС]]),0))</f>
        <v>0</v>
      </c>
      <c r="AS29" s="70" cm="1">
        <f t="array" ref="AS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проекта'!AS$1)/(1+IFERROR(_xlfn.XLOOKUP($A29,Таблица1[[Специалист]:[Специалист]],Таблица1[[Ставка НДС]:[Ставка НДС]]),0))</f>
        <v>0</v>
      </c>
      <c r="AT29" s="70" cm="1">
        <f t="array" ref="AT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проекта'!AT$1)/(1+IFERROR(_xlfn.XLOOKUP($A29,Таблица1[[Специалист]:[Специалист]],Таблица1[[Ставка НДС]:[Ставка НДС]]),0))</f>
        <v>0</v>
      </c>
      <c r="AU29" s="70" cm="1">
        <f t="array" ref="AU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проекта'!AU$1)/(1+IFERROR(_xlfn.XLOOKUP($A29,Таблица1[[Специалист]:[Специалист]],Таблица1[[Ставка НДС]:[Ставка НДС]]),0))</f>
        <v>0</v>
      </c>
      <c r="AV29" s="70" cm="1">
        <f t="array" ref="AV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проекта'!AV$1)/(1+IFERROR(_xlfn.XLOOKUP($A29,Таблица1[[Специалист]:[Специалист]],Таблица1[[Ставка НДС]:[Ставка НДС]]),0))</f>
        <v>0</v>
      </c>
      <c r="AW29" s="70" cm="1">
        <f t="array" ref="AW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проекта'!AW$1)/(1+IFERROR(_xlfn.XLOOKUP($A29,Таблица1[[Специалист]:[Специалист]],Таблица1[[Ставка НДС]:[Ставка НДС]]),0))</f>
        <v>0</v>
      </c>
      <c r="AX29" s="70" cm="1">
        <f t="array" ref="AX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проекта'!AX$1)/(1+IFERROR(_xlfn.XLOOKUP($A29,Таблица1[[Специалист]:[Специалист]],Таблица1[[Ставка НДС]:[Ставка НДС]]),0))</f>
        <v>0</v>
      </c>
      <c r="AY29" s="70" cm="1">
        <f t="array" ref="AY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проекта'!AY$1)/(1+IFERROR(_xlfn.XLOOKUP($A29,Таблица1[[Специалист]:[Специалист]],Таблица1[[Ставка НДС]:[Ставка НДС]]),0))</f>
        <v>0</v>
      </c>
      <c r="AZ29" s="70" cm="1">
        <f t="array" ref="AZ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проекта'!AZ$1)/(1+IFERROR(_xlfn.XLOOKUP($A29,Таблица1[[Специалист]:[Специалист]],Таблица1[[Ставка НДС]:[Ставка НДС]]),0))</f>
        <v>0</v>
      </c>
      <c r="BA29" s="70" cm="1">
        <f t="array" ref="BA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проекта'!BA$1)/(1+IFERROR(_xlfn.XLOOKUP($A29,Таблица1[[Специалист]:[Специалист]],Таблица1[[Ставка НДС]:[Ставка НДС]]),0))</f>
        <v>0</v>
      </c>
      <c r="BB29" s="70" cm="1">
        <f t="array" ref="BB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проекта'!BB$1)/(1+IFERROR(_xlfn.XLOOKUP($A29,Таблица1[[Специалист]:[Специалист]],Таблица1[[Ставка НДС]:[Ставка НДС]]),0))</f>
        <v>0</v>
      </c>
      <c r="BC29" s="70" cm="1">
        <f t="array" ref="BC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проекта'!BC$1)/(1+IFERROR(_xlfn.XLOOKUP($A29,Таблица1[[Специалист]:[Специалист]],Таблица1[[Ставка НДС]:[Ставка НДС]]),0))</f>
        <v>0</v>
      </c>
      <c r="BD29" s="70" cm="1">
        <f t="array" ref="BD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проекта'!BD$1)/(1+IFERROR(_xlfn.XLOOKUP($A29,Таблица1[[Специалист]:[Специалист]],Таблица1[[Ставка НДС]:[Ставка НДС]]),0))</f>
        <v>0</v>
      </c>
      <c r="BE29" s="70" cm="1">
        <f t="array" ref="BE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проекта'!BE$1)/(1+IFERROR(_xlfn.XLOOKUP($A29,Таблица1[[Специалист]:[Специалист]],Таблица1[[Ставка НДС]:[Ставка НДС]]),0))</f>
        <v>0</v>
      </c>
      <c r="BF29" s="70" cm="1">
        <f t="array" ref="BF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проекта'!BF$1)/(1+IFERROR(_xlfn.XLOOKUP($A29,Таблица1[[Специалист]:[Специалист]],Таблица1[[Ставка НДС]:[Ставка НДС]]),0))</f>
        <v>0</v>
      </c>
      <c r="BG29" s="70" cm="1">
        <f t="array" ref="BG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проекта'!BG$1)/(1+IFERROR(_xlfn.XLOOKUP($A29,Таблица1[[Специалист]:[Специалист]],Таблица1[[Ставка НДС]:[Ставка НДС]]),0))</f>
        <v>0</v>
      </c>
      <c r="BH29" s="70" cm="1">
        <f t="array" ref="BH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проекта'!BH$1)/(1+IFERROR(_xlfn.XLOOKUP($A29,Таблица1[[Специалист]:[Специалист]],Таблица1[[Ставка НДС]:[Ставка НДС]]),0))</f>
        <v>0</v>
      </c>
      <c r="BI29" s="70" cm="1">
        <f t="array" ref="BI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проекта'!BI$1)/(1+IFERROR(_xlfn.XLOOKUP($A29,Таблица1[[Специалист]:[Специалист]],Таблица1[[Ставка НДС]:[Ставка НДС]]),0))</f>
        <v>0</v>
      </c>
      <c r="BJ29" s="70" cm="1">
        <f t="array" ref="BJ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проекта'!BJ$1)/(1+IFERROR(_xlfn.XLOOKUP($A29,Таблица1[[Специалист]:[Специалист]],Таблица1[[Ставка НДС]:[Ставка НДС]]),0))</f>
        <v>0</v>
      </c>
      <c r="BK29" s="70" cm="1">
        <f t="array" ref="BK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проекта'!BK$1)/(1+IFERROR(_xlfn.XLOOKUP($A29,Таблица1[[Специалист]:[Специалист]],Таблица1[[Ставка НДС]:[Ставка НДС]]),0))</f>
        <v>0</v>
      </c>
      <c r="BL29" s="70" cm="1">
        <f t="array" ref="BL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проекта'!BL$1)/(1+IFERROR(_xlfn.XLOOKUP($A29,Таблица1[[Специалист]:[Специалист]],Таблица1[[Ставка НДС]:[Ставка НДС]]),0))</f>
        <v>0</v>
      </c>
      <c r="BM29" s="70" cm="1">
        <f t="array" ref="BM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проекта'!BM$1)/(1+IFERROR(_xlfn.XLOOKUP($A29,Таблица1[[Специалист]:[Специалист]],Таблица1[[Ставка НДС]:[Ставка НДС]]),0))</f>
        <v>0</v>
      </c>
      <c r="BN29" s="70" cm="1">
        <f t="array" ref="BN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проекта'!BN$1)/(1+IFERROR(_xlfn.XLOOKUP($A29,Таблица1[[Специалист]:[Специалист]],Таблица1[[Ставка НДС]:[Ставка НДС]]),0))</f>
        <v>0</v>
      </c>
      <c r="BO29" s="70" cm="1">
        <f t="array" ref="BO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проекта'!BO$1)/(1+IFERROR(_xlfn.XLOOKUP($A29,Таблица1[[Специалист]:[Специалист]],Таблица1[[Ставка НДС]:[Ставка НДС]]),0))</f>
        <v>0</v>
      </c>
      <c r="BP29" s="70" cm="1">
        <f t="array" ref="BP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проекта'!BP$1)/(1+IFERROR(_xlfn.XLOOKUP($A29,Таблица1[[Специалист]:[Специалист]],Таблица1[[Ставка НДС]:[Ставка НДС]]),0))</f>
        <v>0</v>
      </c>
      <c r="BQ29" s="70" cm="1">
        <f t="array" ref="BQ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проекта'!BQ$1)/(1+IFERROR(_xlfn.XLOOKUP($A29,Таблица1[[Специалист]:[Специалист]],Таблица1[[Ставка НДС]:[Ставка НДС]]),0))</f>
        <v>0</v>
      </c>
      <c r="BR29" s="70" cm="1">
        <f t="array" ref="BR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проекта'!BR$1)/(1+IFERROR(_xlfn.XLOOKUP($A29,Таблица1[[Специалист]:[Специалист]],Таблица1[[Ставка НДС]:[Ставка НДС]]),0))</f>
        <v>0</v>
      </c>
      <c r="BS29" s="70" cm="1">
        <f t="array" ref="BS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проекта'!BS$1)/(1+IFERROR(_xlfn.XLOOKUP($A29,Таблица1[[Специалист]:[Специалист]],Таблица1[[Ставка НДС]:[Ставка НДС]]),0))</f>
        <v>0</v>
      </c>
      <c r="BT29" s="70" cm="1">
        <f t="array" ref="BT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проекта'!BT$1)/(1+IFERROR(_xlfn.XLOOKUP($A29,Таблица1[[Специалист]:[Специалист]],Таблица1[[Ставка НДС]:[Ставка НДС]]),0))</f>
        <v>0</v>
      </c>
      <c r="BU29" s="70" cm="1">
        <f t="array" ref="BU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проекта'!BU$1)/(1+IFERROR(_xlfn.XLOOKUP($A29,Таблица1[[Специалист]:[Специалист]],Таблица1[[Ставка НДС]:[Ставка НДС]]),0))</f>
        <v>0</v>
      </c>
      <c r="BV29" s="70" cm="1">
        <f t="array" ref="BV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проекта'!BV$1)/(1+IFERROR(_xlfn.XLOOKUP($A29,Таблица1[[Специалист]:[Специалист]],Таблица1[[Ставка НДС]:[Ставка НДС]]),0))</f>
        <v>0</v>
      </c>
      <c r="BW29" s="70" cm="1">
        <f t="array" ref="BW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проекта'!BW$1)/(1+IFERROR(_xlfn.XLOOKUP($A29,Таблица1[[Специалист]:[Специалист]],Таблица1[[Ставка НДС]:[Ставка НДС]]),0))</f>
        <v>0</v>
      </c>
      <c r="BX29" s="70" cm="1">
        <f t="array" ref="BX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проекта'!BX$1)/(1+IFERROR(_xlfn.XLOOKUP($A29,Таблица1[[Специалист]:[Специалист]],Таблица1[[Ставка НДС]:[Ставка НДС]]),0))</f>
        <v>0</v>
      </c>
      <c r="BY29" s="70" cm="1">
        <f t="array" ref="BY29">SUMIFS(Таблица1[[Итого со страховыми]:[Итого со страховыми]],Таблица1[[Специалист]:[Специалист]],'шаблон расчета проекта'!$A29,Таблица1[[Прогнозный месяц подписания Акта]:[Прогнозный месяц подписания Акта]],'шаблон расчета проекта'!BY$1)/(1+IFERROR(_xlfn.XLOOKUP($A29,Таблица1[[Специалист]:[Специалист]],Таблица1[[Ставка НДС]:[Ставка НДС]]),0))</f>
        <v>0</v>
      </c>
      <c r="BZ29" s="71">
        <f t="shared" si="5"/>
        <v>0</v>
      </c>
      <c r="CA29" s="51"/>
    </row>
    <row r="30" spans="1:79" x14ac:dyDescent="0.3">
      <c r="A30" s="54">
        <f t="shared" si="4"/>
        <v>0</v>
      </c>
      <c r="B30" s="68" t="str">
        <f t="shared" si="4"/>
        <v/>
      </c>
      <c r="C30" s="69">
        <f t="shared" si="4"/>
        <v>0</v>
      </c>
      <c r="D30" s="57">
        <f t="shared" si="4"/>
        <v>0</v>
      </c>
      <c r="E30" s="58">
        <f t="shared" si="4"/>
        <v>0</v>
      </c>
      <c r="F30" s="70" cm="1">
        <f t="array" ref="F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проекта'!F$1)/(1+IFERROR(_xlfn.XLOOKUP($A30,Таблица1[[Специалист]:[Специалист]],Таблица1[[Ставка НДС]:[Ставка НДС]]),0))</f>
        <v>0</v>
      </c>
      <c r="G30" s="70" cm="1">
        <f t="array" ref="G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проекта'!G$1)/(1+IFERROR(_xlfn.XLOOKUP($A30,Таблица1[[Специалист]:[Специалист]],Таблица1[[Ставка НДС]:[Ставка НДС]]),0))</f>
        <v>0</v>
      </c>
      <c r="H30" s="70" cm="1">
        <f t="array" ref="H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проекта'!H$1)/(1+IFERROR(_xlfn.XLOOKUP($A30,Таблица1[[Специалист]:[Специалист]],Таблица1[[Ставка НДС]:[Ставка НДС]]),0))</f>
        <v>0</v>
      </c>
      <c r="I30" s="70" cm="1">
        <f t="array" ref="I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проекта'!I$1)/(1+IFERROR(_xlfn.XLOOKUP($A30,Таблица1[[Специалист]:[Специалист]],Таблица1[[Ставка НДС]:[Ставка НДС]]),0))</f>
        <v>0</v>
      </c>
      <c r="J30" s="70" cm="1">
        <f t="array" ref="J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проекта'!J$1)/(1+IFERROR(_xlfn.XLOOKUP($A30,Таблица1[[Специалист]:[Специалист]],Таблица1[[Ставка НДС]:[Ставка НДС]]),0))</f>
        <v>0</v>
      </c>
      <c r="K30" s="70" cm="1">
        <f t="array" ref="K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проекта'!K$1)/(1+IFERROR(_xlfn.XLOOKUP($A30,Таблица1[[Специалист]:[Специалист]],Таблица1[[Ставка НДС]:[Ставка НДС]]),0))</f>
        <v>0</v>
      </c>
      <c r="L30" s="70" cm="1">
        <f t="array" ref="L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проекта'!L$1)/(1+IFERROR(_xlfn.XLOOKUP($A30,Таблица1[[Специалист]:[Специалист]],Таблица1[[Ставка НДС]:[Ставка НДС]]),0))</f>
        <v>0</v>
      </c>
      <c r="M30" s="70" cm="1">
        <f t="array" ref="M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проекта'!M$1)/(1+IFERROR(_xlfn.XLOOKUP($A30,Таблица1[[Специалист]:[Специалист]],Таблица1[[Ставка НДС]:[Ставка НДС]]),0))</f>
        <v>0</v>
      </c>
      <c r="N30" s="70" cm="1">
        <f t="array" ref="N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проекта'!N$1)/(1+IFERROR(_xlfn.XLOOKUP($A30,Таблица1[[Специалист]:[Специалист]],Таблица1[[Ставка НДС]:[Ставка НДС]]),0))</f>
        <v>0</v>
      </c>
      <c r="O30" s="70" cm="1">
        <f t="array" ref="O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проекта'!O$1)/(1+IFERROR(_xlfn.XLOOKUP($A30,Таблица1[[Специалист]:[Специалист]],Таблица1[[Ставка НДС]:[Ставка НДС]]),0))</f>
        <v>0</v>
      </c>
      <c r="P30" s="70" cm="1">
        <f t="array" ref="P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проекта'!P$1)/(1+IFERROR(_xlfn.XLOOKUP($A30,Таблица1[[Специалист]:[Специалист]],Таблица1[[Ставка НДС]:[Ставка НДС]]),0))</f>
        <v>0</v>
      </c>
      <c r="Q30" s="70" cm="1">
        <f t="array" ref="Q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проекта'!Q$1)/(1+IFERROR(_xlfn.XLOOKUP($A30,Таблица1[[Специалист]:[Специалист]],Таблица1[[Ставка НДС]:[Ставка НДС]]),0))</f>
        <v>0</v>
      </c>
      <c r="R30" s="70" cm="1">
        <f t="array" ref="R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проекта'!R$1)/(1+IFERROR(_xlfn.XLOOKUP($A30,Таблица1[[Специалист]:[Специалист]],Таблица1[[Ставка НДС]:[Ставка НДС]]),0))</f>
        <v>0</v>
      </c>
      <c r="S30" s="70" cm="1">
        <f t="array" ref="S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проекта'!S$1)/(1+IFERROR(_xlfn.XLOOKUP($A30,Таблица1[[Специалист]:[Специалист]],Таблица1[[Ставка НДС]:[Ставка НДС]]),0))</f>
        <v>0</v>
      </c>
      <c r="T30" s="70" cm="1">
        <f t="array" ref="T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проекта'!T$1)/(1+IFERROR(_xlfn.XLOOKUP($A30,Таблица1[[Специалист]:[Специалист]],Таблица1[[Ставка НДС]:[Ставка НДС]]),0))</f>
        <v>0</v>
      </c>
      <c r="U30" s="70" cm="1">
        <f t="array" ref="U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проекта'!U$1)/(1+IFERROR(_xlfn.XLOOKUP($A30,Таблица1[[Специалист]:[Специалист]],Таблица1[[Ставка НДС]:[Ставка НДС]]),0))</f>
        <v>0</v>
      </c>
      <c r="V30" s="70" cm="1">
        <f t="array" ref="V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проекта'!V$1)/(1+IFERROR(_xlfn.XLOOKUP($A30,Таблица1[[Специалист]:[Специалист]],Таблица1[[Ставка НДС]:[Ставка НДС]]),0))</f>
        <v>0</v>
      </c>
      <c r="W30" s="70" cm="1">
        <f t="array" ref="W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проекта'!W$1)/(1+IFERROR(_xlfn.XLOOKUP($A30,Таблица1[[Специалист]:[Специалист]],Таблица1[[Ставка НДС]:[Ставка НДС]]),0))</f>
        <v>0</v>
      </c>
      <c r="X30" s="70" cm="1">
        <f t="array" ref="X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проекта'!X$1)/(1+IFERROR(_xlfn.XLOOKUP($A30,Таблица1[[Специалист]:[Специалист]],Таблица1[[Ставка НДС]:[Ставка НДС]]),0))</f>
        <v>0</v>
      </c>
      <c r="Y30" s="70" cm="1">
        <f t="array" ref="Y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проекта'!Y$1)/(1+IFERROR(_xlfn.XLOOKUP($A30,Таблица1[[Специалист]:[Специалист]],Таблица1[[Ставка НДС]:[Ставка НДС]]),0))</f>
        <v>0</v>
      </c>
      <c r="Z30" s="70" cm="1">
        <f t="array" ref="Z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проекта'!Z$1)/(1+IFERROR(_xlfn.XLOOKUP($A30,Таблица1[[Специалист]:[Специалист]],Таблица1[[Ставка НДС]:[Ставка НДС]]),0))</f>
        <v>0</v>
      </c>
      <c r="AA30" s="70" cm="1">
        <f t="array" ref="AA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проекта'!AA$1)/(1+IFERROR(_xlfn.XLOOKUP($A30,Таблица1[[Специалист]:[Специалист]],Таблица1[[Ставка НДС]:[Ставка НДС]]),0))</f>
        <v>0</v>
      </c>
      <c r="AB30" s="70" cm="1">
        <f t="array" ref="AB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проекта'!AB$1)/(1+IFERROR(_xlfn.XLOOKUP($A30,Таблица1[[Специалист]:[Специалист]],Таблица1[[Ставка НДС]:[Ставка НДС]]),0))</f>
        <v>0</v>
      </c>
      <c r="AC30" s="70" cm="1">
        <f t="array" ref="AC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проекта'!AC$1)/(1+IFERROR(_xlfn.XLOOKUP($A30,Таблица1[[Специалист]:[Специалист]],Таблица1[[Ставка НДС]:[Ставка НДС]]),0))</f>
        <v>0</v>
      </c>
      <c r="AD30" s="70" cm="1">
        <f t="array" ref="AD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проекта'!AD$1)/(1+IFERROR(_xlfn.XLOOKUP($A30,Таблица1[[Специалист]:[Специалист]],Таблица1[[Ставка НДС]:[Ставка НДС]]),0))</f>
        <v>0</v>
      </c>
      <c r="AE30" s="70" cm="1">
        <f t="array" ref="AE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проекта'!AE$1)/(1+IFERROR(_xlfn.XLOOKUP($A30,Таблица1[[Специалист]:[Специалист]],Таблица1[[Ставка НДС]:[Ставка НДС]]),0))</f>
        <v>0</v>
      </c>
      <c r="AF30" s="70" cm="1">
        <f t="array" ref="AF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проекта'!AF$1)/(1+IFERROR(_xlfn.XLOOKUP($A30,Таблица1[[Специалист]:[Специалист]],Таблица1[[Ставка НДС]:[Ставка НДС]]),0))</f>
        <v>0</v>
      </c>
      <c r="AG30" s="70" cm="1">
        <f t="array" ref="AG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проекта'!AG$1)/(1+IFERROR(_xlfn.XLOOKUP($A30,Таблица1[[Специалист]:[Специалист]],Таблица1[[Ставка НДС]:[Ставка НДС]]),0))</f>
        <v>0</v>
      </c>
      <c r="AH30" s="70" cm="1">
        <f t="array" ref="AH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проекта'!AH$1)/(1+IFERROR(_xlfn.XLOOKUP($A30,Таблица1[[Специалист]:[Специалист]],Таблица1[[Ставка НДС]:[Ставка НДС]]),0))</f>
        <v>0</v>
      </c>
      <c r="AI30" s="70" cm="1">
        <f t="array" ref="AI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проекта'!AI$1)/(1+IFERROR(_xlfn.XLOOKUP($A30,Таблица1[[Специалист]:[Специалист]],Таблица1[[Ставка НДС]:[Ставка НДС]]),0))</f>
        <v>0</v>
      </c>
      <c r="AJ30" s="70" cm="1">
        <f t="array" ref="AJ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проекта'!AJ$1)/(1+IFERROR(_xlfn.XLOOKUP($A30,Таблица1[[Специалист]:[Специалист]],Таблица1[[Ставка НДС]:[Ставка НДС]]),0))</f>
        <v>0</v>
      </c>
      <c r="AK30" s="70" cm="1">
        <f t="array" ref="AK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проекта'!AK$1)/(1+IFERROR(_xlfn.XLOOKUP($A30,Таблица1[[Специалист]:[Специалист]],Таблица1[[Ставка НДС]:[Ставка НДС]]),0))</f>
        <v>0</v>
      </c>
      <c r="AL30" s="70" cm="1">
        <f t="array" ref="AL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проекта'!AL$1)/(1+IFERROR(_xlfn.XLOOKUP($A30,Таблица1[[Специалист]:[Специалист]],Таблица1[[Ставка НДС]:[Ставка НДС]]),0))</f>
        <v>0</v>
      </c>
      <c r="AM30" s="70" cm="1">
        <f t="array" ref="AM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проекта'!AM$1)/(1+IFERROR(_xlfn.XLOOKUP($A30,Таблица1[[Специалист]:[Специалист]],Таблица1[[Ставка НДС]:[Ставка НДС]]),0))</f>
        <v>0</v>
      </c>
      <c r="AN30" s="70" cm="1">
        <f t="array" ref="AN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проекта'!AN$1)/(1+IFERROR(_xlfn.XLOOKUP($A30,Таблица1[[Специалист]:[Специалист]],Таблица1[[Ставка НДС]:[Ставка НДС]]),0))</f>
        <v>0</v>
      </c>
      <c r="AO30" s="70" cm="1">
        <f t="array" ref="AO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проекта'!AO$1)/(1+IFERROR(_xlfn.XLOOKUP($A30,Таблица1[[Специалист]:[Специалист]],Таблица1[[Ставка НДС]:[Ставка НДС]]),0))</f>
        <v>0</v>
      </c>
      <c r="AP30" s="70" cm="1">
        <f t="array" ref="AP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проекта'!AP$1)/(1+IFERROR(_xlfn.XLOOKUP($A30,Таблица1[[Специалист]:[Специалист]],Таблица1[[Ставка НДС]:[Ставка НДС]]),0))</f>
        <v>0</v>
      </c>
      <c r="AQ30" s="70" cm="1">
        <f t="array" ref="AQ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проекта'!AQ$1)/(1+IFERROR(_xlfn.XLOOKUP($A30,Таблица1[[Специалист]:[Специалист]],Таблица1[[Ставка НДС]:[Ставка НДС]]),0))</f>
        <v>0</v>
      </c>
      <c r="AR30" s="70" cm="1">
        <f t="array" ref="AR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проекта'!AR$1)/(1+IFERROR(_xlfn.XLOOKUP($A30,Таблица1[[Специалист]:[Специалист]],Таблица1[[Ставка НДС]:[Ставка НДС]]),0))</f>
        <v>0</v>
      </c>
      <c r="AS30" s="70" cm="1">
        <f t="array" ref="AS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проекта'!AS$1)/(1+IFERROR(_xlfn.XLOOKUP($A30,Таблица1[[Специалист]:[Специалист]],Таблица1[[Ставка НДС]:[Ставка НДС]]),0))</f>
        <v>0</v>
      </c>
      <c r="AT30" s="70" cm="1">
        <f t="array" ref="AT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проекта'!AT$1)/(1+IFERROR(_xlfn.XLOOKUP($A30,Таблица1[[Специалист]:[Специалист]],Таблица1[[Ставка НДС]:[Ставка НДС]]),0))</f>
        <v>0</v>
      </c>
      <c r="AU30" s="70" cm="1">
        <f t="array" ref="AU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проекта'!AU$1)/(1+IFERROR(_xlfn.XLOOKUP($A30,Таблица1[[Специалист]:[Специалист]],Таблица1[[Ставка НДС]:[Ставка НДС]]),0))</f>
        <v>0</v>
      </c>
      <c r="AV30" s="70" cm="1">
        <f t="array" ref="AV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проекта'!AV$1)/(1+IFERROR(_xlfn.XLOOKUP($A30,Таблица1[[Специалист]:[Специалист]],Таблица1[[Ставка НДС]:[Ставка НДС]]),0))</f>
        <v>0</v>
      </c>
      <c r="AW30" s="70" cm="1">
        <f t="array" ref="AW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проекта'!AW$1)/(1+IFERROR(_xlfn.XLOOKUP($A30,Таблица1[[Специалист]:[Специалист]],Таблица1[[Ставка НДС]:[Ставка НДС]]),0))</f>
        <v>0</v>
      </c>
      <c r="AX30" s="70" cm="1">
        <f t="array" ref="AX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проекта'!AX$1)/(1+IFERROR(_xlfn.XLOOKUP($A30,Таблица1[[Специалист]:[Специалист]],Таблица1[[Ставка НДС]:[Ставка НДС]]),0))</f>
        <v>0</v>
      </c>
      <c r="AY30" s="70" cm="1">
        <f t="array" ref="AY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проекта'!AY$1)/(1+IFERROR(_xlfn.XLOOKUP($A30,Таблица1[[Специалист]:[Специалист]],Таблица1[[Ставка НДС]:[Ставка НДС]]),0))</f>
        <v>0</v>
      </c>
      <c r="AZ30" s="70" cm="1">
        <f t="array" ref="AZ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проекта'!AZ$1)/(1+IFERROR(_xlfn.XLOOKUP($A30,Таблица1[[Специалист]:[Специалист]],Таблица1[[Ставка НДС]:[Ставка НДС]]),0))</f>
        <v>0</v>
      </c>
      <c r="BA30" s="70" cm="1">
        <f t="array" ref="BA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проекта'!BA$1)/(1+IFERROR(_xlfn.XLOOKUP($A30,Таблица1[[Специалист]:[Специалист]],Таблица1[[Ставка НДС]:[Ставка НДС]]),0))</f>
        <v>0</v>
      </c>
      <c r="BB30" s="70" cm="1">
        <f t="array" ref="BB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проекта'!BB$1)/(1+IFERROR(_xlfn.XLOOKUP($A30,Таблица1[[Специалист]:[Специалист]],Таблица1[[Ставка НДС]:[Ставка НДС]]),0))</f>
        <v>0</v>
      </c>
      <c r="BC30" s="70" cm="1">
        <f t="array" ref="BC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проекта'!BC$1)/(1+IFERROR(_xlfn.XLOOKUP($A30,Таблица1[[Специалист]:[Специалист]],Таблица1[[Ставка НДС]:[Ставка НДС]]),0))</f>
        <v>0</v>
      </c>
      <c r="BD30" s="70" cm="1">
        <f t="array" ref="BD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проекта'!BD$1)/(1+IFERROR(_xlfn.XLOOKUP($A30,Таблица1[[Специалист]:[Специалист]],Таблица1[[Ставка НДС]:[Ставка НДС]]),0))</f>
        <v>0</v>
      </c>
      <c r="BE30" s="70" cm="1">
        <f t="array" ref="BE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проекта'!BE$1)/(1+IFERROR(_xlfn.XLOOKUP($A30,Таблица1[[Специалист]:[Специалист]],Таблица1[[Ставка НДС]:[Ставка НДС]]),0))</f>
        <v>0</v>
      </c>
      <c r="BF30" s="70" cm="1">
        <f t="array" ref="BF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проекта'!BF$1)/(1+IFERROR(_xlfn.XLOOKUP($A30,Таблица1[[Специалист]:[Специалист]],Таблица1[[Ставка НДС]:[Ставка НДС]]),0))</f>
        <v>0</v>
      </c>
      <c r="BG30" s="70" cm="1">
        <f t="array" ref="BG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проекта'!BG$1)/(1+IFERROR(_xlfn.XLOOKUP($A30,Таблица1[[Специалист]:[Специалист]],Таблица1[[Ставка НДС]:[Ставка НДС]]),0))</f>
        <v>0</v>
      </c>
      <c r="BH30" s="70" cm="1">
        <f t="array" ref="BH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проекта'!BH$1)/(1+IFERROR(_xlfn.XLOOKUP($A30,Таблица1[[Специалист]:[Специалист]],Таблица1[[Ставка НДС]:[Ставка НДС]]),0))</f>
        <v>0</v>
      </c>
      <c r="BI30" s="70" cm="1">
        <f t="array" ref="BI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проекта'!BI$1)/(1+IFERROR(_xlfn.XLOOKUP($A30,Таблица1[[Специалист]:[Специалист]],Таблица1[[Ставка НДС]:[Ставка НДС]]),0))</f>
        <v>0</v>
      </c>
      <c r="BJ30" s="70" cm="1">
        <f t="array" ref="BJ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проекта'!BJ$1)/(1+IFERROR(_xlfn.XLOOKUP($A30,Таблица1[[Специалист]:[Специалист]],Таблица1[[Ставка НДС]:[Ставка НДС]]),0))</f>
        <v>0</v>
      </c>
      <c r="BK30" s="70" cm="1">
        <f t="array" ref="BK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проекта'!BK$1)/(1+IFERROR(_xlfn.XLOOKUP($A30,Таблица1[[Специалист]:[Специалист]],Таблица1[[Ставка НДС]:[Ставка НДС]]),0))</f>
        <v>0</v>
      </c>
      <c r="BL30" s="70" cm="1">
        <f t="array" ref="BL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проекта'!BL$1)/(1+IFERROR(_xlfn.XLOOKUP($A30,Таблица1[[Специалист]:[Специалист]],Таблица1[[Ставка НДС]:[Ставка НДС]]),0))</f>
        <v>0</v>
      </c>
      <c r="BM30" s="70" cm="1">
        <f t="array" ref="BM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проекта'!BM$1)/(1+IFERROR(_xlfn.XLOOKUP($A30,Таблица1[[Специалист]:[Специалист]],Таблица1[[Ставка НДС]:[Ставка НДС]]),0))</f>
        <v>0</v>
      </c>
      <c r="BN30" s="70" cm="1">
        <f t="array" ref="BN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проекта'!BN$1)/(1+IFERROR(_xlfn.XLOOKUP($A30,Таблица1[[Специалист]:[Специалист]],Таблица1[[Ставка НДС]:[Ставка НДС]]),0))</f>
        <v>0</v>
      </c>
      <c r="BO30" s="70" cm="1">
        <f t="array" ref="BO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проекта'!BO$1)/(1+IFERROR(_xlfn.XLOOKUP($A30,Таблица1[[Специалист]:[Специалист]],Таблица1[[Ставка НДС]:[Ставка НДС]]),0))</f>
        <v>0</v>
      </c>
      <c r="BP30" s="70" cm="1">
        <f t="array" ref="BP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проекта'!BP$1)/(1+IFERROR(_xlfn.XLOOKUP($A30,Таблица1[[Специалист]:[Специалист]],Таблица1[[Ставка НДС]:[Ставка НДС]]),0))</f>
        <v>0</v>
      </c>
      <c r="BQ30" s="70" cm="1">
        <f t="array" ref="BQ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проекта'!BQ$1)/(1+IFERROR(_xlfn.XLOOKUP($A30,Таблица1[[Специалист]:[Специалист]],Таблица1[[Ставка НДС]:[Ставка НДС]]),0))</f>
        <v>0</v>
      </c>
      <c r="BR30" s="70" cm="1">
        <f t="array" ref="BR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проекта'!BR$1)/(1+IFERROR(_xlfn.XLOOKUP($A30,Таблица1[[Специалист]:[Специалист]],Таблица1[[Ставка НДС]:[Ставка НДС]]),0))</f>
        <v>0</v>
      </c>
      <c r="BS30" s="70" cm="1">
        <f t="array" ref="BS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проекта'!BS$1)/(1+IFERROR(_xlfn.XLOOKUP($A30,Таблица1[[Специалист]:[Специалист]],Таблица1[[Ставка НДС]:[Ставка НДС]]),0))</f>
        <v>0</v>
      </c>
      <c r="BT30" s="70" cm="1">
        <f t="array" ref="BT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проекта'!BT$1)/(1+IFERROR(_xlfn.XLOOKUP($A30,Таблица1[[Специалист]:[Специалист]],Таблица1[[Ставка НДС]:[Ставка НДС]]),0))</f>
        <v>0</v>
      </c>
      <c r="BU30" s="70" cm="1">
        <f t="array" ref="BU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проекта'!BU$1)/(1+IFERROR(_xlfn.XLOOKUP($A30,Таблица1[[Специалист]:[Специалист]],Таблица1[[Ставка НДС]:[Ставка НДС]]),0))</f>
        <v>0</v>
      </c>
      <c r="BV30" s="70" cm="1">
        <f t="array" ref="BV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проекта'!BV$1)/(1+IFERROR(_xlfn.XLOOKUP($A30,Таблица1[[Специалист]:[Специалист]],Таблица1[[Ставка НДС]:[Ставка НДС]]),0))</f>
        <v>0</v>
      </c>
      <c r="BW30" s="70" cm="1">
        <f t="array" ref="BW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проекта'!BW$1)/(1+IFERROR(_xlfn.XLOOKUP($A30,Таблица1[[Специалист]:[Специалист]],Таблица1[[Ставка НДС]:[Ставка НДС]]),0))</f>
        <v>0</v>
      </c>
      <c r="BX30" s="70" cm="1">
        <f t="array" ref="BX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проекта'!BX$1)/(1+IFERROR(_xlfn.XLOOKUP($A30,Таблица1[[Специалист]:[Специалист]],Таблица1[[Ставка НДС]:[Ставка НДС]]),0))</f>
        <v>0</v>
      </c>
      <c r="BY30" s="70" cm="1">
        <f t="array" ref="BY30">SUMIFS(Таблица1[[Итого со страховыми]:[Итого со страховыми]],Таблица1[[Специалист]:[Специалист]],'шаблон расчета проекта'!$A30,Таблица1[[Прогнозный месяц подписания Акта]:[Прогнозный месяц подписания Акта]],'шаблон расчета проекта'!BY$1)/(1+IFERROR(_xlfn.XLOOKUP($A30,Таблица1[[Специалист]:[Специалист]],Таблица1[[Ставка НДС]:[Ставка НДС]]),0))</f>
        <v>0</v>
      </c>
      <c r="BZ30" s="71">
        <f t="shared" si="5"/>
        <v>0</v>
      </c>
      <c r="CA30" s="51"/>
    </row>
    <row r="31" spans="1:79" x14ac:dyDescent="0.3">
      <c r="A31" s="54">
        <f t="shared" si="4"/>
        <v>0</v>
      </c>
      <c r="B31" s="68" t="str">
        <f t="shared" si="4"/>
        <v/>
      </c>
      <c r="C31" s="69">
        <f t="shared" si="4"/>
        <v>0</v>
      </c>
      <c r="D31" s="57">
        <f t="shared" si="4"/>
        <v>0</v>
      </c>
      <c r="E31" s="58">
        <f t="shared" si="4"/>
        <v>0</v>
      </c>
      <c r="F31" s="70" cm="1">
        <f t="array" ref="F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проекта'!F$1)/(1+IFERROR(_xlfn.XLOOKUP($A31,Таблица1[[Специалист]:[Специалист]],Таблица1[[Ставка НДС]:[Ставка НДС]]),0))</f>
        <v>0</v>
      </c>
      <c r="G31" s="70" cm="1">
        <f t="array" ref="G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проекта'!G$1)/(1+IFERROR(_xlfn.XLOOKUP($A31,Таблица1[[Специалист]:[Специалист]],Таблица1[[Ставка НДС]:[Ставка НДС]]),0))</f>
        <v>0</v>
      </c>
      <c r="H31" s="70" cm="1">
        <f t="array" ref="H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проекта'!H$1)/(1+IFERROR(_xlfn.XLOOKUP($A31,Таблица1[[Специалист]:[Специалист]],Таблица1[[Ставка НДС]:[Ставка НДС]]),0))</f>
        <v>0</v>
      </c>
      <c r="I31" s="70" cm="1">
        <f t="array" ref="I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проекта'!I$1)/(1+IFERROR(_xlfn.XLOOKUP($A31,Таблица1[[Специалист]:[Специалист]],Таблица1[[Ставка НДС]:[Ставка НДС]]),0))</f>
        <v>0</v>
      </c>
      <c r="J31" s="70" cm="1">
        <f t="array" ref="J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проекта'!J$1)/(1+IFERROR(_xlfn.XLOOKUP($A31,Таблица1[[Специалист]:[Специалист]],Таблица1[[Ставка НДС]:[Ставка НДС]]),0))</f>
        <v>0</v>
      </c>
      <c r="K31" s="70" cm="1">
        <f t="array" ref="K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проекта'!K$1)/(1+IFERROR(_xlfn.XLOOKUP($A31,Таблица1[[Специалист]:[Специалист]],Таблица1[[Ставка НДС]:[Ставка НДС]]),0))</f>
        <v>0</v>
      </c>
      <c r="L31" s="70" cm="1">
        <f t="array" ref="L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проекта'!L$1)/(1+IFERROR(_xlfn.XLOOKUP($A31,Таблица1[[Специалист]:[Специалист]],Таблица1[[Ставка НДС]:[Ставка НДС]]),0))</f>
        <v>0</v>
      </c>
      <c r="M31" s="70" cm="1">
        <f t="array" ref="M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проекта'!M$1)/(1+IFERROR(_xlfn.XLOOKUP($A31,Таблица1[[Специалист]:[Специалист]],Таблица1[[Ставка НДС]:[Ставка НДС]]),0))</f>
        <v>0</v>
      </c>
      <c r="N31" s="70" cm="1">
        <f t="array" ref="N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проекта'!N$1)/(1+IFERROR(_xlfn.XLOOKUP($A31,Таблица1[[Специалист]:[Специалист]],Таблица1[[Ставка НДС]:[Ставка НДС]]),0))</f>
        <v>0</v>
      </c>
      <c r="O31" s="70" cm="1">
        <f t="array" ref="O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проекта'!O$1)/(1+IFERROR(_xlfn.XLOOKUP($A31,Таблица1[[Специалист]:[Специалист]],Таблица1[[Ставка НДС]:[Ставка НДС]]),0))</f>
        <v>0</v>
      </c>
      <c r="P31" s="70" cm="1">
        <f t="array" ref="P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проекта'!P$1)/(1+IFERROR(_xlfn.XLOOKUP($A31,Таблица1[[Специалист]:[Специалист]],Таблица1[[Ставка НДС]:[Ставка НДС]]),0))</f>
        <v>0</v>
      </c>
      <c r="Q31" s="70" cm="1">
        <f t="array" ref="Q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проекта'!Q$1)/(1+IFERROR(_xlfn.XLOOKUP($A31,Таблица1[[Специалист]:[Специалист]],Таблица1[[Ставка НДС]:[Ставка НДС]]),0))</f>
        <v>0</v>
      </c>
      <c r="R31" s="70" cm="1">
        <f t="array" ref="R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проекта'!R$1)/(1+IFERROR(_xlfn.XLOOKUP($A31,Таблица1[[Специалист]:[Специалист]],Таблица1[[Ставка НДС]:[Ставка НДС]]),0))</f>
        <v>0</v>
      </c>
      <c r="S31" s="70" cm="1">
        <f t="array" ref="S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проекта'!S$1)/(1+IFERROR(_xlfn.XLOOKUP($A31,Таблица1[[Специалист]:[Специалист]],Таблица1[[Ставка НДС]:[Ставка НДС]]),0))</f>
        <v>0</v>
      </c>
      <c r="T31" s="70" cm="1">
        <f t="array" ref="T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проекта'!T$1)/(1+IFERROR(_xlfn.XLOOKUP($A31,Таблица1[[Специалист]:[Специалист]],Таблица1[[Ставка НДС]:[Ставка НДС]]),0))</f>
        <v>0</v>
      </c>
      <c r="U31" s="70" cm="1">
        <f t="array" ref="U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проекта'!U$1)/(1+IFERROR(_xlfn.XLOOKUP($A31,Таблица1[[Специалист]:[Специалист]],Таблица1[[Ставка НДС]:[Ставка НДС]]),0))</f>
        <v>0</v>
      </c>
      <c r="V31" s="70" cm="1">
        <f t="array" ref="V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проекта'!V$1)/(1+IFERROR(_xlfn.XLOOKUP($A31,Таблица1[[Специалист]:[Специалист]],Таблица1[[Ставка НДС]:[Ставка НДС]]),0))</f>
        <v>0</v>
      </c>
      <c r="W31" s="70" cm="1">
        <f t="array" ref="W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проекта'!W$1)/(1+IFERROR(_xlfn.XLOOKUP($A31,Таблица1[[Специалист]:[Специалист]],Таблица1[[Ставка НДС]:[Ставка НДС]]),0))</f>
        <v>0</v>
      </c>
      <c r="X31" s="70" cm="1">
        <f t="array" ref="X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проекта'!X$1)/(1+IFERROR(_xlfn.XLOOKUP($A31,Таблица1[[Специалист]:[Специалист]],Таблица1[[Ставка НДС]:[Ставка НДС]]),0))</f>
        <v>0</v>
      </c>
      <c r="Y31" s="70" cm="1">
        <f t="array" ref="Y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проекта'!Y$1)/(1+IFERROR(_xlfn.XLOOKUP($A31,Таблица1[[Специалист]:[Специалист]],Таблица1[[Ставка НДС]:[Ставка НДС]]),0))</f>
        <v>0</v>
      </c>
      <c r="Z31" s="70" cm="1">
        <f t="array" ref="Z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проекта'!Z$1)/(1+IFERROR(_xlfn.XLOOKUP($A31,Таблица1[[Специалист]:[Специалист]],Таблица1[[Ставка НДС]:[Ставка НДС]]),0))</f>
        <v>0</v>
      </c>
      <c r="AA31" s="70" cm="1">
        <f t="array" ref="AA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проекта'!AA$1)/(1+IFERROR(_xlfn.XLOOKUP($A31,Таблица1[[Специалист]:[Специалист]],Таблица1[[Ставка НДС]:[Ставка НДС]]),0))</f>
        <v>0</v>
      </c>
      <c r="AB31" s="70" cm="1">
        <f t="array" ref="AB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проекта'!AB$1)/(1+IFERROR(_xlfn.XLOOKUP($A31,Таблица1[[Специалист]:[Специалист]],Таблица1[[Ставка НДС]:[Ставка НДС]]),0))</f>
        <v>0</v>
      </c>
      <c r="AC31" s="70" cm="1">
        <f t="array" ref="AC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проекта'!AC$1)/(1+IFERROR(_xlfn.XLOOKUP($A31,Таблица1[[Специалист]:[Специалист]],Таблица1[[Ставка НДС]:[Ставка НДС]]),0))</f>
        <v>0</v>
      </c>
      <c r="AD31" s="70" cm="1">
        <f t="array" ref="AD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проекта'!AD$1)/(1+IFERROR(_xlfn.XLOOKUP($A31,Таблица1[[Специалист]:[Специалист]],Таблица1[[Ставка НДС]:[Ставка НДС]]),0))</f>
        <v>0</v>
      </c>
      <c r="AE31" s="70" cm="1">
        <f t="array" ref="AE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проекта'!AE$1)/(1+IFERROR(_xlfn.XLOOKUP($A31,Таблица1[[Специалист]:[Специалист]],Таблица1[[Ставка НДС]:[Ставка НДС]]),0))</f>
        <v>0</v>
      </c>
      <c r="AF31" s="70" cm="1">
        <f t="array" ref="AF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проекта'!AF$1)/(1+IFERROR(_xlfn.XLOOKUP($A31,Таблица1[[Специалист]:[Специалист]],Таблица1[[Ставка НДС]:[Ставка НДС]]),0))</f>
        <v>0</v>
      </c>
      <c r="AG31" s="70" cm="1">
        <f t="array" ref="AG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проекта'!AG$1)/(1+IFERROR(_xlfn.XLOOKUP($A31,Таблица1[[Специалист]:[Специалист]],Таблица1[[Ставка НДС]:[Ставка НДС]]),0))</f>
        <v>0</v>
      </c>
      <c r="AH31" s="70" cm="1">
        <f t="array" ref="AH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проекта'!AH$1)/(1+IFERROR(_xlfn.XLOOKUP($A31,Таблица1[[Специалист]:[Специалист]],Таблица1[[Ставка НДС]:[Ставка НДС]]),0))</f>
        <v>0</v>
      </c>
      <c r="AI31" s="70" cm="1">
        <f t="array" ref="AI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проекта'!AI$1)/(1+IFERROR(_xlfn.XLOOKUP($A31,Таблица1[[Специалист]:[Специалист]],Таблица1[[Ставка НДС]:[Ставка НДС]]),0))</f>
        <v>0</v>
      </c>
      <c r="AJ31" s="70" cm="1">
        <f t="array" ref="AJ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проекта'!AJ$1)/(1+IFERROR(_xlfn.XLOOKUP($A31,Таблица1[[Специалист]:[Специалист]],Таблица1[[Ставка НДС]:[Ставка НДС]]),0))</f>
        <v>0</v>
      </c>
      <c r="AK31" s="70" cm="1">
        <f t="array" ref="AK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проекта'!AK$1)/(1+IFERROR(_xlfn.XLOOKUP($A31,Таблица1[[Специалист]:[Специалист]],Таблица1[[Ставка НДС]:[Ставка НДС]]),0))</f>
        <v>0</v>
      </c>
      <c r="AL31" s="70" cm="1">
        <f t="array" ref="AL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проекта'!AL$1)/(1+IFERROR(_xlfn.XLOOKUP($A31,Таблица1[[Специалист]:[Специалист]],Таблица1[[Ставка НДС]:[Ставка НДС]]),0))</f>
        <v>0</v>
      </c>
      <c r="AM31" s="70" cm="1">
        <f t="array" ref="AM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проекта'!AM$1)/(1+IFERROR(_xlfn.XLOOKUP($A31,Таблица1[[Специалист]:[Специалист]],Таблица1[[Ставка НДС]:[Ставка НДС]]),0))</f>
        <v>0</v>
      </c>
      <c r="AN31" s="70" cm="1">
        <f t="array" ref="AN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проекта'!AN$1)/(1+IFERROR(_xlfn.XLOOKUP($A31,Таблица1[[Специалист]:[Специалист]],Таблица1[[Ставка НДС]:[Ставка НДС]]),0))</f>
        <v>0</v>
      </c>
      <c r="AO31" s="70" cm="1">
        <f t="array" ref="AO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проекта'!AO$1)/(1+IFERROR(_xlfn.XLOOKUP($A31,Таблица1[[Специалист]:[Специалист]],Таблица1[[Ставка НДС]:[Ставка НДС]]),0))</f>
        <v>0</v>
      </c>
      <c r="AP31" s="70" cm="1">
        <f t="array" ref="AP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проекта'!AP$1)/(1+IFERROR(_xlfn.XLOOKUP($A31,Таблица1[[Специалист]:[Специалист]],Таблица1[[Ставка НДС]:[Ставка НДС]]),0))</f>
        <v>0</v>
      </c>
      <c r="AQ31" s="70" cm="1">
        <f t="array" ref="AQ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проекта'!AQ$1)/(1+IFERROR(_xlfn.XLOOKUP($A31,Таблица1[[Специалист]:[Специалист]],Таблица1[[Ставка НДС]:[Ставка НДС]]),0))</f>
        <v>0</v>
      </c>
      <c r="AR31" s="70" cm="1">
        <f t="array" ref="AR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проекта'!AR$1)/(1+IFERROR(_xlfn.XLOOKUP($A31,Таблица1[[Специалист]:[Специалист]],Таблица1[[Ставка НДС]:[Ставка НДС]]),0))</f>
        <v>0</v>
      </c>
      <c r="AS31" s="70" cm="1">
        <f t="array" ref="AS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проекта'!AS$1)/(1+IFERROR(_xlfn.XLOOKUP($A31,Таблица1[[Специалист]:[Специалист]],Таблица1[[Ставка НДС]:[Ставка НДС]]),0))</f>
        <v>0</v>
      </c>
      <c r="AT31" s="70" cm="1">
        <f t="array" ref="AT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проекта'!AT$1)/(1+IFERROR(_xlfn.XLOOKUP($A31,Таблица1[[Специалист]:[Специалист]],Таблица1[[Ставка НДС]:[Ставка НДС]]),0))</f>
        <v>0</v>
      </c>
      <c r="AU31" s="70" cm="1">
        <f t="array" ref="AU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проекта'!AU$1)/(1+IFERROR(_xlfn.XLOOKUP($A31,Таблица1[[Специалист]:[Специалист]],Таблица1[[Ставка НДС]:[Ставка НДС]]),0))</f>
        <v>0</v>
      </c>
      <c r="AV31" s="70" cm="1">
        <f t="array" ref="AV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проекта'!AV$1)/(1+IFERROR(_xlfn.XLOOKUP($A31,Таблица1[[Специалист]:[Специалист]],Таблица1[[Ставка НДС]:[Ставка НДС]]),0))</f>
        <v>0</v>
      </c>
      <c r="AW31" s="70" cm="1">
        <f t="array" ref="AW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проекта'!AW$1)/(1+IFERROR(_xlfn.XLOOKUP($A31,Таблица1[[Специалист]:[Специалист]],Таблица1[[Ставка НДС]:[Ставка НДС]]),0))</f>
        <v>0</v>
      </c>
      <c r="AX31" s="70" cm="1">
        <f t="array" ref="AX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проекта'!AX$1)/(1+IFERROR(_xlfn.XLOOKUP($A31,Таблица1[[Специалист]:[Специалист]],Таблица1[[Ставка НДС]:[Ставка НДС]]),0))</f>
        <v>0</v>
      </c>
      <c r="AY31" s="70" cm="1">
        <f t="array" ref="AY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проекта'!AY$1)/(1+IFERROR(_xlfn.XLOOKUP($A31,Таблица1[[Специалист]:[Специалист]],Таблица1[[Ставка НДС]:[Ставка НДС]]),0))</f>
        <v>0</v>
      </c>
      <c r="AZ31" s="70" cm="1">
        <f t="array" ref="AZ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проекта'!AZ$1)/(1+IFERROR(_xlfn.XLOOKUP($A31,Таблица1[[Специалист]:[Специалист]],Таблица1[[Ставка НДС]:[Ставка НДС]]),0))</f>
        <v>0</v>
      </c>
      <c r="BA31" s="70" cm="1">
        <f t="array" ref="BA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проекта'!BA$1)/(1+IFERROR(_xlfn.XLOOKUP($A31,Таблица1[[Специалист]:[Специалист]],Таблица1[[Ставка НДС]:[Ставка НДС]]),0))</f>
        <v>0</v>
      </c>
      <c r="BB31" s="70" cm="1">
        <f t="array" ref="BB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проекта'!BB$1)/(1+IFERROR(_xlfn.XLOOKUP($A31,Таблица1[[Специалист]:[Специалист]],Таблица1[[Ставка НДС]:[Ставка НДС]]),0))</f>
        <v>0</v>
      </c>
      <c r="BC31" s="70" cm="1">
        <f t="array" ref="BC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проекта'!BC$1)/(1+IFERROR(_xlfn.XLOOKUP($A31,Таблица1[[Специалист]:[Специалист]],Таблица1[[Ставка НДС]:[Ставка НДС]]),0))</f>
        <v>0</v>
      </c>
      <c r="BD31" s="70" cm="1">
        <f t="array" ref="BD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проекта'!BD$1)/(1+IFERROR(_xlfn.XLOOKUP($A31,Таблица1[[Специалист]:[Специалист]],Таблица1[[Ставка НДС]:[Ставка НДС]]),0))</f>
        <v>0</v>
      </c>
      <c r="BE31" s="70" cm="1">
        <f t="array" ref="BE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проекта'!BE$1)/(1+IFERROR(_xlfn.XLOOKUP($A31,Таблица1[[Специалист]:[Специалист]],Таблица1[[Ставка НДС]:[Ставка НДС]]),0))</f>
        <v>0</v>
      </c>
      <c r="BF31" s="70" cm="1">
        <f t="array" ref="BF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проекта'!BF$1)/(1+IFERROR(_xlfn.XLOOKUP($A31,Таблица1[[Специалист]:[Специалист]],Таблица1[[Ставка НДС]:[Ставка НДС]]),0))</f>
        <v>0</v>
      </c>
      <c r="BG31" s="70" cm="1">
        <f t="array" ref="BG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проекта'!BG$1)/(1+IFERROR(_xlfn.XLOOKUP($A31,Таблица1[[Специалист]:[Специалист]],Таблица1[[Ставка НДС]:[Ставка НДС]]),0))</f>
        <v>0</v>
      </c>
      <c r="BH31" s="70" cm="1">
        <f t="array" ref="BH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проекта'!BH$1)/(1+IFERROR(_xlfn.XLOOKUP($A31,Таблица1[[Специалист]:[Специалист]],Таблица1[[Ставка НДС]:[Ставка НДС]]),0))</f>
        <v>0</v>
      </c>
      <c r="BI31" s="70" cm="1">
        <f t="array" ref="BI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проекта'!BI$1)/(1+IFERROR(_xlfn.XLOOKUP($A31,Таблица1[[Специалист]:[Специалист]],Таблица1[[Ставка НДС]:[Ставка НДС]]),0))</f>
        <v>0</v>
      </c>
      <c r="BJ31" s="70" cm="1">
        <f t="array" ref="BJ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проекта'!BJ$1)/(1+IFERROR(_xlfn.XLOOKUP($A31,Таблица1[[Специалист]:[Специалист]],Таблица1[[Ставка НДС]:[Ставка НДС]]),0))</f>
        <v>0</v>
      </c>
      <c r="BK31" s="70" cm="1">
        <f t="array" ref="BK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проекта'!BK$1)/(1+IFERROR(_xlfn.XLOOKUP($A31,Таблица1[[Специалист]:[Специалист]],Таблица1[[Ставка НДС]:[Ставка НДС]]),0))</f>
        <v>0</v>
      </c>
      <c r="BL31" s="70" cm="1">
        <f t="array" ref="BL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проекта'!BL$1)/(1+IFERROR(_xlfn.XLOOKUP($A31,Таблица1[[Специалист]:[Специалист]],Таблица1[[Ставка НДС]:[Ставка НДС]]),0))</f>
        <v>0</v>
      </c>
      <c r="BM31" s="70" cm="1">
        <f t="array" ref="BM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проекта'!BM$1)/(1+IFERROR(_xlfn.XLOOKUP($A31,Таблица1[[Специалист]:[Специалист]],Таблица1[[Ставка НДС]:[Ставка НДС]]),0))</f>
        <v>0</v>
      </c>
      <c r="BN31" s="70" cm="1">
        <f t="array" ref="BN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проекта'!BN$1)/(1+IFERROR(_xlfn.XLOOKUP($A31,Таблица1[[Специалист]:[Специалист]],Таблица1[[Ставка НДС]:[Ставка НДС]]),0))</f>
        <v>0</v>
      </c>
      <c r="BO31" s="70" cm="1">
        <f t="array" ref="BO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проекта'!BO$1)/(1+IFERROR(_xlfn.XLOOKUP($A31,Таблица1[[Специалист]:[Специалист]],Таблица1[[Ставка НДС]:[Ставка НДС]]),0))</f>
        <v>0</v>
      </c>
      <c r="BP31" s="70" cm="1">
        <f t="array" ref="BP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проекта'!BP$1)/(1+IFERROR(_xlfn.XLOOKUP($A31,Таблица1[[Специалист]:[Специалист]],Таблица1[[Ставка НДС]:[Ставка НДС]]),0))</f>
        <v>0</v>
      </c>
      <c r="BQ31" s="70" cm="1">
        <f t="array" ref="BQ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проекта'!BQ$1)/(1+IFERROR(_xlfn.XLOOKUP($A31,Таблица1[[Специалист]:[Специалист]],Таблица1[[Ставка НДС]:[Ставка НДС]]),0))</f>
        <v>0</v>
      </c>
      <c r="BR31" s="70" cm="1">
        <f t="array" ref="BR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проекта'!BR$1)/(1+IFERROR(_xlfn.XLOOKUP($A31,Таблица1[[Специалист]:[Специалист]],Таблица1[[Ставка НДС]:[Ставка НДС]]),0))</f>
        <v>0</v>
      </c>
      <c r="BS31" s="70" cm="1">
        <f t="array" ref="BS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проекта'!BS$1)/(1+IFERROR(_xlfn.XLOOKUP($A31,Таблица1[[Специалист]:[Специалист]],Таблица1[[Ставка НДС]:[Ставка НДС]]),0))</f>
        <v>0</v>
      </c>
      <c r="BT31" s="70" cm="1">
        <f t="array" ref="BT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проекта'!BT$1)/(1+IFERROR(_xlfn.XLOOKUP($A31,Таблица1[[Специалист]:[Специалист]],Таблица1[[Ставка НДС]:[Ставка НДС]]),0))</f>
        <v>0</v>
      </c>
      <c r="BU31" s="70" cm="1">
        <f t="array" ref="BU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проекта'!BU$1)/(1+IFERROR(_xlfn.XLOOKUP($A31,Таблица1[[Специалист]:[Специалист]],Таблица1[[Ставка НДС]:[Ставка НДС]]),0))</f>
        <v>0</v>
      </c>
      <c r="BV31" s="70" cm="1">
        <f t="array" ref="BV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проекта'!BV$1)/(1+IFERROR(_xlfn.XLOOKUP($A31,Таблица1[[Специалист]:[Специалист]],Таблица1[[Ставка НДС]:[Ставка НДС]]),0))</f>
        <v>0</v>
      </c>
      <c r="BW31" s="70" cm="1">
        <f t="array" ref="BW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проекта'!BW$1)/(1+IFERROR(_xlfn.XLOOKUP($A31,Таблица1[[Специалист]:[Специалист]],Таблица1[[Ставка НДС]:[Ставка НДС]]),0))</f>
        <v>0</v>
      </c>
      <c r="BX31" s="70" cm="1">
        <f t="array" ref="BX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проекта'!BX$1)/(1+IFERROR(_xlfn.XLOOKUP($A31,Таблица1[[Специалист]:[Специалист]],Таблица1[[Ставка НДС]:[Ставка НДС]]),0))</f>
        <v>0</v>
      </c>
      <c r="BY31" s="70" cm="1">
        <f t="array" ref="BY31">SUMIFS(Таблица1[[Итого со страховыми]:[Итого со страховыми]],Таблица1[[Специалист]:[Специалист]],'шаблон расчета проекта'!$A31,Таблица1[[Прогнозный месяц подписания Акта]:[Прогнозный месяц подписания Акта]],'шаблон расчета проекта'!BY$1)/(1+IFERROR(_xlfn.XLOOKUP($A31,Таблица1[[Специалист]:[Специалист]],Таблица1[[Ставка НДС]:[Ставка НДС]]),0))</f>
        <v>0</v>
      </c>
      <c r="BZ31" s="71">
        <f t="shared" si="5"/>
        <v>0</v>
      </c>
      <c r="CA31" s="51"/>
    </row>
    <row r="32" spans="1:79" x14ac:dyDescent="0.3">
      <c r="A32" s="54">
        <f t="shared" si="4"/>
        <v>0</v>
      </c>
      <c r="B32" s="68" t="str">
        <f t="shared" si="4"/>
        <v/>
      </c>
      <c r="C32" s="69">
        <f t="shared" si="4"/>
        <v>0</v>
      </c>
      <c r="D32" s="57">
        <f t="shared" si="4"/>
        <v>0</v>
      </c>
      <c r="E32" s="58">
        <f t="shared" si="4"/>
        <v>0</v>
      </c>
      <c r="F32" s="70" cm="1">
        <f t="array" ref="F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проекта'!F$1)/(1+IFERROR(_xlfn.XLOOKUP($A32,Таблица1[[Специалист]:[Специалист]],Таблица1[[Ставка НДС]:[Ставка НДС]]),0))</f>
        <v>0</v>
      </c>
      <c r="G32" s="70" cm="1">
        <f t="array" ref="G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проекта'!G$1)/(1+IFERROR(_xlfn.XLOOKUP($A32,Таблица1[[Специалист]:[Специалист]],Таблица1[[Ставка НДС]:[Ставка НДС]]),0))</f>
        <v>0</v>
      </c>
      <c r="H32" s="70" cm="1">
        <f t="array" ref="H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проекта'!H$1)/(1+IFERROR(_xlfn.XLOOKUP($A32,Таблица1[[Специалист]:[Специалист]],Таблица1[[Ставка НДС]:[Ставка НДС]]),0))</f>
        <v>0</v>
      </c>
      <c r="I32" s="70" cm="1">
        <f t="array" ref="I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проекта'!I$1)/(1+IFERROR(_xlfn.XLOOKUP($A32,Таблица1[[Специалист]:[Специалист]],Таблица1[[Ставка НДС]:[Ставка НДС]]),0))</f>
        <v>0</v>
      </c>
      <c r="J32" s="70" cm="1">
        <f t="array" ref="J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проекта'!J$1)/(1+IFERROR(_xlfn.XLOOKUP($A32,Таблица1[[Специалист]:[Специалист]],Таблица1[[Ставка НДС]:[Ставка НДС]]),0))</f>
        <v>0</v>
      </c>
      <c r="K32" s="70" cm="1">
        <f t="array" ref="K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проекта'!K$1)/(1+IFERROR(_xlfn.XLOOKUP($A32,Таблица1[[Специалист]:[Специалист]],Таблица1[[Ставка НДС]:[Ставка НДС]]),0))</f>
        <v>0</v>
      </c>
      <c r="L32" s="70" cm="1">
        <f t="array" ref="L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проекта'!L$1)/(1+IFERROR(_xlfn.XLOOKUP($A32,Таблица1[[Специалист]:[Специалист]],Таблица1[[Ставка НДС]:[Ставка НДС]]),0))</f>
        <v>0</v>
      </c>
      <c r="M32" s="70" cm="1">
        <f t="array" ref="M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проекта'!M$1)/(1+IFERROR(_xlfn.XLOOKUP($A32,Таблица1[[Специалист]:[Специалист]],Таблица1[[Ставка НДС]:[Ставка НДС]]),0))</f>
        <v>0</v>
      </c>
      <c r="N32" s="70" cm="1">
        <f t="array" ref="N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проекта'!N$1)/(1+IFERROR(_xlfn.XLOOKUP($A32,Таблица1[[Специалист]:[Специалист]],Таблица1[[Ставка НДС]:[Ставка НДС]]),0))</f>
        <v>0</v>
      </c>
      <c r="O32" s="70" cm="1">
        <f t="array" ref="O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проекта'!O$1)/(1+IFERROR(_xlfn.XLOOKUP($A32,Таблица1[[Специалист]:[Специалист]],Таблица1[[Ставка НДС]:[Ставка НДС]]),0))</f>
        <v>0</v>
      </c>
      <c r="P32" s="70" cm="1">
        <f t="array" ref="P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проекта'!P$1)/(1+IFERROR(_xlfn.XLOOKUP($A32,Таблица1[[Специалист]:[Специалист]],Таблица1[[Ставка НДС]:[Ставка НДС]]),0))</f>
        <v>0</v>
      </c>
      <c r="Q32" s="70" cm="1">
        <f t="array" ref="Q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проекта'!Q$1)/(1+IFERROR(_xlfn.XLOOKUP($A32,Таблица1[[Специалист]:[Специалист]],Таблица1[[Ставка НДС]:[Ставка НДС]]),0))</f>
        <v>0</v>
      </c>
      <c r="R32" s="70" cm="1">
        <f t="array" ref="R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проекта'!R$1)/(1+IFERROR(_xlfn.XLOOKUP($A32,Таблица1[[Специалист]:[Специалист]],Таблица1[[Ставка НДС]:[Ставка НДС]]),0))</f>
        <v>0</v>
      </c>
      <c r="S32" s="70" cm="1">
        <f t="array" ref="S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проекта'!S$1)/(1+IFERROR(_xlfn.XLOOKUP($A32,Таблица1[[Специалист]:[Специалист]],Таблица1[[Ставка НДС]:[Ставка НДС]]),0))</f>
        <v>0</v>
      </c>
      <c r="T32" s="70" cm="1">
        <f t="array" ref="T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проекта'!T$1)/(1+IFERROR(_xlfn.XLOOKUP($A32,Таблица1[[Специалист]:[Специалист]],Таблица1[[Ставка НДС]:[Ставка НДС]]),0))</f>
        <v>0</v>
      </c>
      <c r="U32" s="70" cm="1">
        <f t="array" ref="U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проекта'!U$1)/(1+IFERROR(_xlfn.XLOOKUP($A32,Таблица1[[Специалист]:[Специалист]],Таблица1[[Ставка НДС]:[Ставка НДС]]),0))</f>
        <v>0</v>
      </c>
      <c r="V32" s="70" cm="1">
        <f t="array" ref="V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проекта'!V$1)/(1+IFERROR(_xlfn.XLOOKUP($A32,Таблица1[[Специалист]:[Специалист]],Таблица1[[Ставка НДС]:[Ставка НДС]]),0))</f>
        <v>0</v>
      </c>
      <c r="W32" s="70" cm="1">
        <f t="array" ref="W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проекта'!W$1)/(1+IFERROR(_xlfn.XLOOKUP($A32,Таблица1[[Специалист]:[Специалист]],Таблица1[[Ставка НДС]:[Ставка НДС]]),0))</f>
        <v>0</v>
      </c>
      <c r="X32" s="70" cm="1">
        <f t="array" ref="X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проекта'!X$1)/(1+IFERROR(_xlfn.XLOOKUP($A32,Таблица1[[Специалист]:[Специалист]],Таблица1[[Ставка НДС]:[Ставка НДС]]),0))</f>
        <v>0</v>
      </c>
      <c r="Y32" s="70" cm="1">
        <f t="array" ref="Y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проекта'!Y$1)/(1+IFERROR(_xlfn.XLOOKUP($A32,Таблица1[[Специалист]:[Специалист]],Таблица1[[Ставка НДС]:[Ставка НДС]]),0))</f>
        <v>0</v>
      </c>
      <c r="Z32" s="70" cm="1">
        <f t="array" ref="Z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проекта'!Z$1)/(1+IFERROR(_xlfn.XLOOKUP($A32,Таблица1[[Специалист]:[Специалист]],Таблица1[[Ставка НДС]:[Ставка НДС]]),0))</f>
        <v>0</v>
      </c>
      <c r="AA32" s="70" cm="1">
        <f t="array" ref="AA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проекта'!AA$1)/(1+IFERROR(_xlfn.XLOOKUP($A32,Таблица1[[Специалист]:[Специалист]],Таблица1[[Ставка НДС]:[Ставка НДС]]),0))</f>
        <v>0</v>
      </c>
      <c r="AB32" s="70" cm="1">
        <f t="array" ref="AB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проекта'!AB$1)/(1+IFERROR(_xlfn.XLOOKUP($A32,Таблица1[[Специалист]:[Специалист]],Таблица1[[Ставка НДС]:[Ставка НДС]]),0))</f>
        <v>0</v>
      </c>
      <c r="AC32" s="70" cm="1">
        <f t="array" ref="AC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проекта'!AC$1)/(1+IFERROR(_xlfn.XLOOKUP($A32,Таблица1[[Специалист]:[Специалист]],Таблица1[[Ставка НДС]:[Ставка НДС]]),0))</f>
        <v>0</v>
      </c>
      <c r="AD32" s="70" cm="1">
        <f t="array" ref="AD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проекта'!AD$1)/(1+IFERROR(_xlfn.XLOOKUP($A32,Таблица1[[Специалист]:[Специалист]],Таблица1[[Ставка НДС]:[Ставка НДС]]),0))</f>
        <v>0</v>
      </c>
      <c r="AE32" s="70" cm="1">
        <f t="array" ref="AE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проекта'!AE$1)/(1+IFERROR(_xlfn.XLOOKUP($A32,Таблица1[[Специалист]:[Специалист]],Таблица1[[Ставка НДС]:[Ставка НДС]]),0))</f>
        <v>0</v>
      </c>
      <c r="AF32" s="70" cm="1">
        <f t="array" ref="AF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проекта'!AF$1)/(1+IFERROR(_xlfn.XLOOKUP($A32,Таблица1[[Специалист]:[Специалист]],Таблица1[[Ставка НДС]:[Ставка НДС]]),0))</f>
        <v>0</v>
      </c>
      <c r="AG32" s="70" cm="1">
        <f t="array" ref="AG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проекта'!AG$1)/(1+IFERROR(_xlfn.XLOOKUP($A32,Таблица1[[Специалист]:[Специалист]],Таблица1[[Ставка НДС]:[Ставка НДС]]),0))</f>
        <v>0</v>
      </c>
      <c r="AH32" s="70" cm="1">
        <f t="array" ref="AH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проекта'!AH$1)/(1+IFERROR(_xlfn.XLOOKUP($A32,Таблица1[[Специалист]:[Специалист]],Таблица1[[Ставка НДС]:[Ставка НДС]]),0))</f>
        <v>0</v>
      </c>
      <c r="AI32" s="70" cm="1">
        <f t="array" ref="AI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проекта'!AI$1)/(1+IFERROR(_xlfn.XLOOKUP($A32,Таблица1[[Специалист]:[Специалист]],Таблица1[[Ставка НДС]:[Ставка НДС]]),0))</f>
        <v>0</v>
      </c>
      <c r="AJ32" s="70" cm="1">
        <f t="array" ref="AJ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проекта'!AJ$1)/(1+IFERROR(_xlfn.XLOOKUP($A32,Таблица1[[Специалист]:[Специалист]],Таблица1[[Ставка НДС]:[Ставка НДС]]),0))</f>
        <v>0</v>
      </c>
      <c r="AK32" s="70" cm="1">
        <f t="array" ref="AK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проекта'!AK$1)/(1+IFERROR(_xlfn.XLOOKUP($A32,Таблица1[[Специалист]:[Специалист]],Таблица1[[Ставка НДС]:[Ставка НДС]]),0))</f>
        <v>0</v>
      </c>
      <c r="AL32" s="70" cm="1">
        <f t="array" ref="AL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проекта'!AL$1)/(1+IFERROR(_xlfn.XLOOKUP($A32,Таблица1[[Специалист]:[Специалист]],Таблица1[[Ставка НДС]:[Ставка НДС]]),0))</f>
        <v>0</v>
      </c>
      <c r="AM32" s="70" cm="1">
        <f t="array" ref="AM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проекта'!AM$1)/(1+IFERROR(_xlfn.XLOOKUP($A32,Таблица1[[Специалист]:[Специалист]],Таблица1[[Ставка НДС]:[Ставка НДС]]),0))</f>
        <v>0</v>
      </c>
      <c r="AN32" s="70" cm="1">
        <f t="array" ref="AN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проекта'!AN$1)/(1+IFERROR(_xlfn.XLOOKUP($A32,Таблица1[[Специалист]:[Специалист]],Таблица1[[Ставка НДС]:[Ставка НДС]]),0))</f>
        <v>0</v>
      </c>
      <c r="AO32" s="70" cm="1">
        <f t="array" ref="AO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проекта'!AO$1)/(1+IFERROR(_xlfn.XLOOKUP($A32,Таблица1[[Специалист]:[Специалист]],Таблица1[[Ставка НДС]:[Ставка НДС]]),0))</f>
        <v>0</v>
      </c>
      <c r="AP32" s="70" cm="1">
        <f t="array" ref="AP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проекта'!AP$1)/(1+IFERROR(_xlfn.XLOOKUP($A32,Таблица1[[Специалист]:[Специалист]],Таблица1[[Ставка НДС]:[Ставка НДС]]),0))</f>
        <v>0</v>
      </c>
      <c r="AQ32" s="70" cm="1">
        <f t="array" ref="AQ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проекта'!AQ$1)/(1+IFERROR(_xlfn.XLOOKUP($A32,Таблица1[[Специалист]:[Специалист]],Таблица1[[Ставка НДС]:[Ставка НДС]]),0))</f>
        <v>0</v>
      </c>
      <c r="AR32" s="70" cm="1">
        <f t="array" ref="AR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проекта'!AR$1)/(1+IFERROR(_xlfn.XLOOKUP($A32,Таблица1[[Специалист]:[Специалист]],Таблица1[[Ставка НДС]:[Ставка НДС]]),0))</f>
        <v>0</v>
      </c>
      <c r="AS32" s="70" cm="1">
        <f t="array" ref="AS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проекта'!AS$1)/(1+IFERROR(_xlfn.XLOOKUP($A32,Таблица1[[Специалист]:[Специалист]],Таблица1[[Ставка НДС]:[Ставка НДС]]),0))</f>
        <v>0</v>
      </c>
      <c r="AT32" s="70" cm="1">
        <f t="array" ref="AT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проекта'!AT$1)/(1+IFERROR(_xlfn.XLOOKUP($A32,Таблица1[[Специалист]:[Специалист]],Таблица1[[Ставка НДС]:[Ставка НДС]]),0))</f>
        <v>0</v>
      </c>
      <c r="AU32" s="70" cm="1">
        <f t="array" ref="AU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проекта'!AU$1)/(1+IFERROR(_xlfn.XLOOKUP($A32,Таблица1[[Специалист]:[Специалист]],Таблица1[[Ставка НДС]:[Ставка НДС]]),0))</f>
        <v>0</v>
      </c>
      <c r="AV32" s="70" cm="1">
        <f t="array" ref="AV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проекта'!AV$1)/(1+IFERROR(_xlfn.XLOOKUP($A32,Таблица1[[Специалист]:[Специалист]],Таблица1[[Ставка НДС]:[Ставка НДС]]),0))</f>
        <v>0</v>
      </c>
      <c r="AW32" s="70" cm="1">
        <f t="array" ref="AW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проекта'!AW$1)/(1+IFERROR(_xlfn.XLOOKUP($A32,Таблица1[[Специалист]:[Специалист]],Таблица1[[Ставка НДС]:[Ставка НДС]]),0))</f>
        <v>0</v>
      </c>
      <c r="AX32" s="70" cm="1">
        <f t="array" ref="AX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проекта'!AX$1)/(1+IFERROR(_xlfn.XLOOKUP($A32,Таблица1[[Специалист]:[Специалист]],Таблица1[[Ставка НДС]:[Ставка НДС]]),0))</f>
        <v>0</v>
      </c>
      <c r="AY32" s="70" cm="1">
        <f t="array" ref="AY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проекта'!AY$1)/(1+IFERROR(_xlfn.XLOOKUP($A32,Таблица1[[Специалист]:[Специалист]],Таблица1[[Ставка НДС]:[Ставка НДС]]),0))</f>
        <v>0</v>
      </c>
      <c r="AZ32" s="70" cm="1">
        <f t="array" ref="AZ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проекта'!AZ$1)/(1+IFERROR(_xlfn.XLOOKUP($A32,Таблица1[[Специалист]:[Специалист]],Таблица1[[Ставка НДС]:[Ставка НДС]]),0))</f>
        <v>0</v>
      </c>
      <c r="BA32" s="70" cm="1">
        <f t="array" ref="BA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проекта'!BA$1)/(1+IFERROR(_xlfn.XLOOKUP($A32,Таблица1[[Специалист]:[Специалист]],Таблица1[[Ставка НДС]:[Ставка НДС]]),0))</f>
        <v>0</v>
      </c>
      <c r="BB32" s="70" cm="1">
        <f t="array" ref="BB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проекта'!BB$1)/(1+IFERROR(_xlfn.XLOOKUP($A32,Таблица1[[Специалист]:[Специалист]],Таблица1[[Ставка НДС]:[Ставка НДС]]),0))</f>
        <v>0</v>
      </c>
      <c r="BC32" s="70" cm="1">
        <f t="array" ref="BC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проекта'!BC$1)/(1+IFERROR(_xlfn.XLOOKUP($A32,Таблица1[[Специалист]:[Специалист]],Таблица1[[Ставка НДС]:[Ставка НДС]]),0))</f>
        <v>0</v>
      </c>
      <c r="BD32" s="70" cm="1">
        <f t="array" ref="BD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проекта'!BD$1)/(1+IFERROR(_xlfn.XLOOKUP($A32,Таблица1[[Специалист]:[Специалист]],Таблица1[[Ставка НДС]:[Ставка НДС]]),0))</f>
        <v>0</v>
      </c>
      <c r="BE32" s="70" cm="1">
        <f t="array" ref="BE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проекта'!BE$1)/(1+IFERROR(_xlfn.XLOOKUP($A32,Таблица1[[Специалист]:[Специалист]],Таблица1[[Ставка НДС]:[Ставка НДС]]),0))</f>
        <v>0</v>
      </c>
      <c r="BF32" s="70" cm="1">
        <f t="array" ref="BF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проекта'!BF$1)/(1+IFERROR(_xlfn.XLOOKUP($A32,Таблица1[[Специалист]:[Специалист]],Таблица1[[Ставка НДС]:[Ставка НДС]]),0))</f>
        <v>0</v>
      </c>
      <c r="BG32" s="70" cm="1">
        <f t="array" ref="BG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проекта'!BG$1)/(1+IFERROR(_xlfn.XLOOKUP($A32,Таблица1[[Специалист]:[Специалист]],Таблица1[[Ставка НДС]:[Ставка НДС]]),0))</f>
        <v>0</v>
      </c>
      <c r="BH32" s="70" cm="1">
        <f t="array" ref="BH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проекта'!BH$1)/(1+IFERROR(_xlfn.XLOOKUP($A32,Таблица1[[Специалист]:[Специалист]],Таблица1[[Ставка НДС]:[Ставка НДС]]),0))</f>
        <v>0</v>
      </c>
      <c r="BI32" s="70" cm="1">
        <f t="array" ref="BI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проекта'!BI$1)/(1+IFERROR(_xlfn.XLOOKUP($A32,Таблица1[[Специалист]:[Специалист]],Таблица1[[Ставка НДС]:[Ставка НДС]]),0))</f>
        <v>0</v>
      </c>
      <c r="BJ32" s="70" cm="1">
        <f t="array" ref="BJ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проекта'!BJ$1)/(1+IFERROR(_xlfn.XLOOKUP($A32,Таблица1[[Специалист]:[Специалист]],Таблица1[[Ставка НДС]:[Ставка НДС]]),0))</f>
        <v>0</v>
      </c>
      <c r="BK32" s="70" cm="1">
        <f t="array" ref="BK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проекта'!BK$1)/(1+IFERROR(_xlfn.XLOOKUP($A32,Таблица1[[Специалист]:[Специалист]],Таблица1[[Ставка НДС]:[Ставка НДС]]),0))</f>
        <v>0</v>
      </c>
      <c r="BL32" s="70" cm="1">
        <f t="array" ref="BL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проекта'!BL$1)/(1+IFERROR(_xlfn.XLOOKUP($A32,Таблица1[[Специалист]:[Специалист]],Таблица1[[Ставка НДС]:[Ставка НДС]]),0))</f>
        <v>0</v>
      </c>
      <c r="BM32" s="70" cm="1">
        <f t="array" ref="BM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проекта'!BM$1)/(1+IFERROR(_xlfn.XLOOKUP($A32,Таблица1[[Специалист]:[Специалист]],Таблица1[[Ставка НДС]:[Ставка НДС]]),0))</f>
        <v>0</v>
      </c>
      <c r="BN32" s="70" cm="1">
        <f t="array" ref="BN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проекта'!BN$1)/(1+IFERROR(_xlfn.XLOOKUP($A32,Таблица1[[Специалист]:[Специалист]],Таблица1[[Ставка НДС]:[Ставка НДС]]),0))</f>
        <v>0</v>
      </c>
      <c r="BO32" s="70" cm="1">
        <f t="array" ref="BO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проекта'!BO$1)/(1+IFERROR(_xlfn.XLOOKUP($A32,Таблица1[[Специалист]:[Специалист]],Таблица1[[Ставка НДС]:[Ставка НДС]]),0))</f>
        <v>0</v>
      </c>
      <c r="BP32" s="70" cm="1">
        <f t="array" ref="BP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проекта'!BP$1)/(1+IFERROR(_xlfn.XLOOKUP($A32,Таблица1[[Специалист]:[Специалист]],Таблица1[[Ставка НДС]:[Ставка НДС]]),0))</f>
        <v>0</v>
      </c>
      <c r="BQ32" s="70" cm="1">
        <f t="array" ref="BQ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проекта'!BQ$1)/(1+IFERROR(_xlfn.XLOOKUP($A32,Таблица1[[Специалист]:[Специалист]],Таблица1[[Ставка НДС]:[Ставка НДС]]),0))</f>
        <v>0</v>
      </c>
      <c r="BR32" s="70" cm="1">
        <f t="array" ref="BR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проекта'!BR$1)/(1+IFERROR(_xlfn.XLOOKUP($A32,Таблица1[[Специалист]:[Специалист]],Таблица1[[Ставка НДС]:[Ставка НДС]]),0))</f>
        <v>0</v>
      </c>
      <c r="BS32" s="70" cm="1">
        <f t="array" ref="BS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проекта'!BS$1)/(1+IFERROR(_xlfn.XLOOKUP($A32,Таблица1[[Специалист]:[Специалист]],Таблица1[[Ставка НДС]:[Ставка НДС]]),0))</f>
        <v>0</v>
      </c>
      <c r="BT32" s="70" cm="1">
        <f t="array" ref="BT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проекта'!BT$1)/(1+IFERROR(_xlfn.XLOOKUP($A32,Таблица1[[Специалист]:[Специалист]],Таблица1[[Ставка НДС]:[Ставка НДС]]),0))</f>
        <v>0</v>
      </c>
      <c r="BU32" s="70" cm="1">
        <f t="array" ref="BU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проекта'!BU$1)/(1+IFERROR(_xlfn.XLOOKUP($A32,Таблица1[[Специалист]:[Специалист]],Таблица1[[Ставка НДС]:[Ставка НДС]]),0))</f>
        <v>0</v>
      </c>
      <c r="BV32" s="70" cm="1">
        <f t="array" ref="BV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проекта'!BV$1)/(1+IFERROR(_xlfn.XLOOKUP($A32,Таблица1[[Специалист]:[Специалист]],Таблица1[[Ставка НДС]:[Ставка НДС]]),0))</f>
        <v>0</v>
      </c>
      <c r="BW32" s="70" cm="1">
        <f t="array" ref="BW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проекта'!BW$1)/(1+IFERROR(_xlfn.XLOOKUP($A32,Таблица1[[Специалист]:[Специалист]],Таблица1[[Ставка НДС]:[Ставка НДС]]),0))</f>
        <v>0</v>
      </c>
      <c r="BX32" s="70" cm="1">
        <f t="array" ref="BX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проекта'!BX$1)/(1+IFERROR(_xlfn.XLOOKUP($A32,Таблица1[[Специалист]:[Специалист]],Таблица1[[Ставка НДС]:[Ставка НДС]]),0))</f>
        <v>0</v>
      </c>
      <c r="BY32" s="70" cm="1">
        <f t="array" ref="BY32">SUMIFS(Таблица1[[Итого со страховыми]:[Итого со страховыми]],Таблица1[[Специалист]:[Специалист]],'шаблон расчета проекта'!$A32,Таблица1[[Прогнозный месяц подписания Акта]:[Прогнозный месяц подписания Акта]],'шаблон расчета проекта'!BY$1)/(1+IFERROR(_xlfn.XLOOKUP($A32,Таблица1[[Специалист]:[Специалист]],Таблица1[[Ставка НДС]:[Ставка НДС]]),0))</f>
        <v>0</v>
      </c>
      <c r="BZ32" s="71">
        <f t="shared" si="5"/>
        <v>0</v>
      </c>
      <c r="CA32" s="51"/>
    </row>
    <row r="33" spans="1:79" s="77" customFormat="1" x14ac:dyDescent="0.3">
      <c r="A33" s="72" t="s">
        <v>43</v>
      </c>
      <c r="B33" s="73"/>
      <c r="C33" s="73"/>
      <c r="D33" s="73"/>
      <c r="E33" s="73"/>
      <c r="F33" s="74">
        <f t="shared" ref="F33:BQ33" si="6">SUM(F20:F32)</f>
        <v>0</v>
      </c>
      <c r="G33" s="74">
        <f t="shared" si="6"/>
        <v>0</v>
      </c>
      <c r="H33" s="74">
        <f t="shared" si="6"/>
        <v>0</v>
      </c>
      <c r="I33" s="74">
        <f t="shared" si="6"/>
        <v>0</v>
      </c>
      <c r="J33" s="74">
        <f t="shared" si="6"/>
        <v>0</v>
      </c>
      <c r="K33" s="74">
        <f t="shared" si="6"/>
        <v>0</v>
      </c>
      <c r="L33" s="74">
        <f t="shared" si="6"/>
        <v>0</v>
      </c>
      <c r="M33" s="74">
        <f t="shared" si="6"/>
        <v>0</v>
      </c>
      <c r="N33" s="74">
        <f t="shared" si="6"/>
        <v>0</v>
      </c>
      <c r="O33" s="74">
        <f t="shared" si="6"/>
        <v>0</v>
      </c>
      <c r="P33" s="74">
        <f t="shared" si="6"/>
        <v>0</v>
      </c>
      <c r="Q33" s="74">
        <f t="shared" si="6"/>
        <v>0</v>
      </c>
      <c r="R33" s="74">
        <f t="shared" si="6"/>
        <v>0</v>
      </c>
      <c r="S33" s="74">
        <f t="shared" si="6"/>
        <v>0</v>
      </c>
      <c r="T33" s="74">
        <f t="shared" si="6"/>
        <v>0</v>
      </c>
      <c r="U33" s="74">
        <f t="shared" si="6"/>
        <v>0</v>
      </c>
      <c r="V33" s="74">
        <f t="shared" si="6"/>
        <v>0</v>
      </c>
      <c r="W33" s="74">
        <f t="shared" si="6"/>
        <v>0</v>
      </c>
      <c r="X33" s="74">
        <f t="shared" si="6"/>
        <v>0</v>
      </c>
      <c r="Y33" s="74">
        <f t="shared" si="6"/>
        <v>0</v>
      </c>
      <c r="Z33" s="74">
        <f t="shared" si="6"/>
        <v>0</v>
      </c>
      <c r="AA33" s="74">
        <f t="shared" si="6"/>
        <v>0</v>
      </c>
      <c r="AB33" s="74">
        <f t="shared" si="6"/>
        <v>0</v>
      </c>
      <c r="AC33" s="74">
        <f t="shared" si="6"/>
        <v>0</v>
      </c>
      <c r="AD33" s="74">
        <f t="shared" si="6"/>
        <v>85809</v>
      </c>
      <c r="AE33" s="74">
        <f t="shared" si="6"/>
        <v>0</v>
      </c>
      <c r="AF33" s="74">
        <f t="shared" si="6"/>
        <v>63830</v>
      </c>
      <c r="AG33" s="74">
        <f t="shared" si="6"/>
        <v>342553</v>
      </c>
      <c r="AH33" s="74">
        <f t="shared" si="6"/>
        <v>225532</v>
      </c>
      <c r="AI33" s="74">
        <f t="shared" si="6"/>
        <v>0</v>
      </c>
      <c r="AJ33" s="74">
        <f t="shared" si="6"/>
        <v>1044640</v>
      </c>
      <c r="AK33" s="74">
        <f t="shared" si="6"/>
        <v>636767</v>
      </c>
      <c r="AL33" s="74">
        <f t="shared" si="6"/>
        <v>195997</v>
      </c>
      <c r="AM33" s="74">
        <f t="shared" si="6"/>
        <v>692427</v>
      </c>
      <c r="AN33" s="74">
        <f t="shared" si="6"/>
        <v>104255</v>
      </c>
      <c r="AO33" s="74">
        <f t="shared" si="6"/>
        <v>100000</v>
      </c>
      <c r="AP33" s="74">
        <f t="shared" si="6"/>
        <v>151064</v>
      </c>
      <c r="AQ33" s="74">
        <f t="shared" si="6"/>
        <v>0</v>
      </c>
      <c r="AR33" s="74">
        <f t="shared" si="6"/>
        <v>0</v>
      </c>
      <c r="AS33" s="74">
        <f t="shared" si="6"/>
        <v>0</v>
      </c>
      <c r="AT33" s="74">
        <f t="shared" si="6"/>
        <v>0</v>
      </c>
      <c r="AU33" s="74">
        <f t="shared" si="6"/>
        <v>0</v>
      </c>
      <c r="AV33" s="74">
        <f t="shared" si="6"/>
        <v>0</v>
      </c>
      <c r="AW33" s="74">
        <f t="shared" si="6"/>
        <v>0</v>
      </c>
      <c r="AX33" s="74">
        <f t="shared" si="6"/>
        <v>0</v>
      </c>
      <c r="AY33" s="74">
        <f t="shared" si="6"/>
        <v>0</v>
      </c>
      <c r="AZ33" s="74">
        <f t="shared" si="6"/>
        <v>0</v>
      </c>
      <c r="BA33" s="74">
        <f t="shared" si="6"/>
        <v>0</v>
      </c>
      <c r="BB33" s="74">
        <f t="shared" si="6"/>
        <v>0</v>
      </c>
      <c r="BC33" s="74">
        <f t="shared" si="6"/>
        <v>0</v>
      </c>
      <c r="BD33" s="74">
        <f t="shared" si="6"/>
        <v>0</v>
      </c>
      <c r="BE33" s="74">
        <f t="shared" si="6"/>
        <v>0</v>
      </c>
      <c r="BF33" s="74">
        <f t="shared" si="6"/>
        <v>0</v>
      </c>
      <c r="BG33" s="74">
        <f t="shared" si="6"/>
        <v>0</v>
      </c>
      <c r="BH33" s="74">
        <f t="shared" si="6"/>
        <v>0</v>
      </c>
      <c r="BI33" s="74">
        <f t="shared" si="6"/>
        <v>0</v>
      </c>
      <c r="BJ33" s="74">
        <f t="shared" si="6"/>
        <v>0</v>
      </c>
      <c r="BK33" s="74">
        <f t="shared" si="6"/>
        <v>0</v>
      </c>
      <c r="BL33" s="74">
        <f t="shared" si="6"/>
        <v>0</v>
      </c>
      <c r="BM33" s="74">
        <f t="shared" si="6"/>
        <v>0</v>
      </c>
      <c r="BN33" s="74">
        <f t="shared" si="6"/>
        <v>0</v>
      </c>
      <c r="BO33" s="74">
        <f t="shared" si="6"/>
        <v>0</v>
      </c>
      <c r="BP33" s="74">
        <f t="shared" si="6"/>
        <v>0</v>
      </c>
      <c r="BQ33" s="74">
        <f t="shared" si="6"/>
        <v>0</v>
      </c>
      <c r="BR33" s="74">
        <f t="shared" ref="BR33:BY33" si="7">SUM(BR20:BR32)</f>
        <v>0</v>
      </c>
      <c r="BS33" s="74">
        <f t="shared" si="7"/>
        <v>0</v>
      </c>
      <c r="BT33" s="74">
        <f t="shared" si="7"/>
        <v>0</v>
      </c>
      <c r="BU33" s="74">
        <f t="shared" si="7"/>
        <v>0</v>
      </c>
      <c r="BV33" s="74">
        <f t="shared" si="7"/>
        <v>0</v>
      </c>
      <c r="BW33" s="74">
        <f t="shared" si="7"/>
        <v>0</v>
      </c>
      <c r="BX33" s="74">
        <f t="shared" si="7"/>
        <v>0</v>
      </c>
      <c r="BY33" s="74">
        <f t="shared" si="7"/>
        <v>0</v>
      </c>
      <c r="BZ33" s="75">
        <f t="shared" si="5"/>
        <v>3642874</v>
      </c>
      <c r="CA33" s="76">
        <f>BZ33-_xlfn.XLOOKUP("ИТОГ",'расчеты_T&amp;M'!A:A,'расчеты_T&amp;M'!P:P)</f>
        <v>3642874</v>
      </c>
    </row>
    <row r="34" spans="1:79" ht="15.6" x14ac:dyDescent="0.3">
      <c r="A34" s="78" t="s">
        <v>47</v>
      </c>
      <c r="CA34" s="51"/>
    </row>
    <row r="35" spans="1:79" x14ac:dyDescent="0.3">
      <c r="A35" s="117" t="s">
        <v>44</v>
      </c>
      <c r="B35" s="115"/>
      <c r="C35" s="115"/>
      <c r="D35" s="115"/>
      <c r="E35" s="116"/>
      <c r="F35" s="67">
        <v>136</v>
      </c>
      <c r="G35" s="67">
        <v>144</v>
      </c>
      <c r="H35" s="67">
        <v>176</v>
      </c>
      <c r="I35" s="67">
        <v>160</v>
      </c>
      <c r="J35" s="67">
        <v>160</v>
      </c>
      <c r="K35" s="67">
        <v>168</v>
      </c>
      <c r="L35" s="67">
        <v>168</v>
      </c>
      <c r="M35" s="67">
        <v>184</v>
      </c>
      <c r="N35" s="67">
        <v>168</v>
      </c>
      <c r="O35" s="67">
        <v>176</v>
      </c>
      <c r="P35" s="67">
        <v>168</v>
      </c>
      <c r="Q35" s="67">
        <v>168</v>
      </c>
      <c r="R35" s="67">
        <v>136</v>
      </c>
      <c r="S35" s="67">
        <v>160</v>
      </c>
      <c r="T35" s="67">
        <v>160</v>
      </c>
      <c r="U35" s="67">
        <v>168</v>
      </c>
      <c r="V35" s="67">
        <v>159</v>
      </c>
      <c r="W35" s="67">
        <v>151</v>
      </c>
      <c r="X35" s="67">
        <v>184</v>
      </c>
      <c r="Y35" s="67">
        <v>176</v>
      </c>
      <c r="Z35" s="67">
        <v>168</v>
      </c>
      <c r="AA35" s="67">
        <v>184</v>
      </c>
      <c r="AB35" s="67">
        <v>167</v>
      </c>
      <c r="AC35" s="67">
        <v>168</v>
      </c>
      <c r="AD35" s="67">
        <v>136</v>
      </c>
      <c r="AE35" s="67">
        <v>160</v>
      </c>
      <c r="AF35" s="67">
        <v>167</v>
      </c>
      <c r="AG35" s="67">
        <v>175</v>
      </c>
      <c r="AH35" s="67">
        <v>144</v>
      </c>
      <c r="AI35" s="67">
        <v>151</v>
      </c>
      <c r="AJ35" s="67">
        <v>184</v>
      </c>
      <c r="AK35" s="67">
        <v>168</v>
      </c>
      <c r="AL35" s="67">
        <v>176</v>
      </c>
      <c r="AM35" s="67">
        <v>184</v>
      </c>
      <c r="AN35" s="67">
        <v>151</v>
      </c>
      <c r="AO35" s="67">
        <v>176</v>
      </c>
      <c r="AP35" s="67">
        <v>120</v>
      </c>
      <c r="AQ35" s="67">
        <v>152</v>
      </c>
      <c r="AR35" s="67">
        <v>168</v>
      </c>
      <c r="AS35" s="67">
        <v>176</v>
      </c>
      <c r="AT35" s="67">
        <v>151</v>
      </c>
      <c r="AU35" s="67">
        <v>167</v>
      </c>
      <c r="AV35" s="67">
        <v>184</v>
      </c>
      <c r="AW35" s="67">
        <v>168</v>
      </c>
      <c r="AX35" s="67">
        <v>176</v>
      </c>
      <c r="AY35" s="67">
        <v>176</v>
      </c>
      <c r="AZ35" s="67">
        <v>160</v>
      </c>
      <c r="BA35" s="67">
        <v>184</v>
      </c>
      <c r="BB35" s="67">
        <v>120</v>
      </c>
      <c r="BC35" s="67">
        <v>151</v>
      </c>
      <c r="BD35" s="67">
        <v>176</v>
      </c>
      <c r="BE35" s="67">
        <v>175</v>
      </c>
      <c r="BF35" s="67">
        <v>152</v>
      </c>
      <c r="BG35" s="67">
        <v>167</v>
      </c>
      <c r="BH35" s="67">
        <v>176</v>
      </c>
      <c r="BI35" s="67">
        <v>176</v>
      </c>
      <c r="BJ35" s="67">
        <v>176</v>
      </c>
      <c r="BK35" s="67">
        <v>168</v>
      </c>
      <c r="BL35" s="67">
        <v>167</v>
      </c>
      <c r="BM35" s="67">
        <v>183</v>
      </c>
      <c r="BN35" s="67">
        <v>128</v>
      </c>
      <c r="BO35" s="67">
        <v>159</v>
      </c>
      <c r="BP35" s="67">
        <v>175</v>
      </c>
      <c r="BQ35" s="67">
        <v>160</v>
      </c>
      <c r="BR35" s="67">
        <v>160</v>
      </c>
      <c r="BS35" s="67">
        <v>168</v>
      </c>
      <c r="BT35" s="67">
        <v>168</v>
      </c>
      <c r="BU35" s="67">
        <v>184</v>
      </c>
      <c r="BV35" s="67">
        <v>168</v>
      </c>
      <c r="BW35" s="67">
        <v>176</v>
      </c>
      <c r="BX35" s="67">
        <v>167</v>
      </c>
      <c r="BY35" s="67">
        <v>168</v>
      </c>
      <c r="BZ35" s="55"/>
      <c r="CA35" s="51"/>
    </row>
    <row r="36" spans="1:79" ht="30.75" customHeight="1" x14ac:dyDescent="0.3">
      <c r="A36" s="68" t="str">
        <f t="shared" ref="A36:E48" si="8">A4</f>
        <v>Захаров Юрий</v>
      </c>
      <c r="B36" s="68" t="str">
        <f t="shared" si="8"/>
        <v>СМЗ</v>
      </c>
      <c r="C36" s="79">
        <f t="shared" si="8"/>
        <v>0</v>
      </c>
      <c r="D36" s="57">
        <f t="shared" si="8"/>
        <v>0</v>
      </c>
      <c r="E36" s="58">
        <f t="shared" si="8"/>
        <v>2127.66</v>
      </c>
      <c r="F36" s="70">
        <f t="shared" ref="F36:BQ39" si="9">ROUND(F4*F$35,0)</f>
        <v>0</v>
      </c>
      <c r="G36" s="70">
        <f t="shared" si="9"/>
        <v>0</v>
      </c>
      <c r="H36" s="70">
        <f t="shared" si="9"/>
        <v>0</v>
      </c>
      <c r="I36" s="70">
        <f t="shared" si="9"/>
        <v>0</v>
      </c>
      <c r="J36" s="70">
        <f t="shared" si="9"/>
        <v>0</v>
      </c>
      <c r="K36" s="70">
        <f t="shared" si="9"/>
        <v>0</v>
      </c>
      <c r="L36" s="70">
        <f t="shared" si="9"/>
        <v>0</v>
      </c>
      <c r="M36" s="70">
        <f t="shared" si="9"/>
        <v>0</v>
      </c>
      <c r="N36" s="70">
        <f t="shared" si="9"/>
        <v>0</v>
      </c>
      <c r="O36" s="70">
        <f t="shared" si="9"/>
        <v>0</v>
      </c>
      <c r="P36" s="70">
        <f t="shared" si="9"/>
        <v>0</v>
      </c>
      <c r="Q36" s="70">
        <f t="shared" si="9"/>
        <v>0</v>
      </c>
      <c r="R36" s="70">
        <f t="shared" si="9"/>
        <v>0</v>
      </c>
      <c r="S36" s="70">
        <f t="shared" si="9"/>
        <v>0</v>
      </c>
      <c r="T36" s="70">
        <f t="shared" si="9"/>
        <v>0</v>
      </c>
      <c r="U36" s="70">
        <f t="shared" si="9"/>
        <v>0</v>
      </c>
      <c r="V36" s="70">
        <f t="shared" si="9"/>
        <v>0</v>
      </c>
      <c r="W36" s="70">
        <f t="shared" si="9"/>
        <v>0</v>
      </c>
      <c r="X36" s="70">
        <f t="shared" si="9"/>
        <v>0</v>
      </c>
      <c r="Y36" s="70">
        <f t="shared" si="9"/>
        <v>0</v>
      </c>
      <c r="Z36" s="70">
        <f t="shared" si="9"/>
        <v>0</v>
      </c>
      <c r="AA36" s="70">
        <f t="shared" si="9"/>
        <v>0</v>
      </c>
      <c r="AB36" s="70">
        <f t="shared" si="9"/>
        <v>0</v>
      </c>
      <c r="AC36" s="70">
        <f t="shared" si="9"/>
        <v>40</v>
      </c>
      <c r="AD36" s="70">
        <f t="shared" si="9"/>
        <v>30</v>
      </c>
      <c r="AE36" s="70">
        <f t="shared" si="9"/>
        <v>80</v>
      </c>
      <c r="AF36" s="70">
        <f t="shared" si="9"/>
        <v>82</v>
      </c>
      <c r="AG36" s="70">
        <f t="shared" si="9"/>
        <v>53</v>
      </c>
      <c r="AH36" s="70">
        <f t="shared" si="9"/>
        <v>55</v>
      </c>
      <c r="AI36" s="70">
        <f t="shared" si="9"/>
        <v>62</v>
      </c>
      <c r="AJ36" s="70">
        <f t="shared" si="9"/>
        <v>18</v>
      </c>
      <c r="AK36" s="70">
        <f t="shared" si="9"/>
        <v>13</v>
      </c>
      <c r="AL36" s="70">
        <f t="shared" si="9"/>
        <v>12</v>
      </c>
      <c r="AM36" s="70">
        <f t="shared" si="9"/>
        <v>50</v>
      </c>
      <c r="AN36" s="70">
        <f t="shared" si="9"/>
        <v>47</v>
      </c>
      <c r="AO36" s="70">
        <f t="shared" si="9"/>
        <v>60</v>
      </c>
      <c r="AP36" s="70">
        <f t="shared" si="9"/>
        <v>0</v>
      </c>
      <c r="AQ36" s="70">
        <f t="shared" si="9"/>
        <v>0</v>
      </c>
      <c r="AR36" s="70">
        <f t="shared" si="9"/>
        <v>0</v>
      </c>
      <c r="AS36" s="70">
        <f t="shared" si="9"/>
        <v>0</v>
      </c>
      <c r="AT36" s="70">
        <f t="shared" si="9"/>
        <v>0</v>
      </c>
      <c r="AU36" s="70">
        <f t="shared" si="9"/>
        <v>0</v>
      </c>
      <c r="AV36" s="70">
        <f t="shared" si="9"/>
        <v>0</v>
      </c>
      <c r="AW36" s="70">
        <f t="shared" si="9"/>
        <v>0</v>
      </c>
      <c r="AX36" s="70">
        <f t="shared" si="9"/>
        <v>0</v>
      </c>
      <c r="AY36" s="70">
        <f t="shared" si="9"/>
        <v>0</v>
      </c>
      <c r="AZ36" s="70">
        <f t="shared" si="9"/>
        <v>0</v>
      </c>
      <c r="BA36" s="70">
        <f t="shared" si="9"/>
        <v>0</v>
      </c>
      <c r="BB36" s="70">
        <f t="shared" si="9"/>
        <v>0</v>
      </c>
      <c r="BC36" s="70">
        <f t="shared" si="9"/>
        <v>0</v>
      </c>
      <c r="BD36" s="70">
        <f t="shared" si="9"/>
        <v>0</v>
      </c>
      <c r="BE36" s="70">
        <f t="shared" si="9"/>
        <v>0</v>
      </c>
      <c r="BF36" s="70">
        <f t="shared" si="9"/>
        <v>0</v>
      </c>
      <c r="BG36" s="70">
        <f t="shared" si="9"/>
        <v>0</v>
      </c>
      <c r="BH36" s="70">
        <f t="shared" si="9"/>
        <v>0</v>
      </c>
      <c r="BI36" s="70">
        <f t="shared" si="9"/>
        <v>0</v>
      </c>
      <c r="BJ36" s="70">
        <f t="shared" si="9"/>
        <v>0</v>
      </c>
      <c r="BK36" s="70">
        <f t="shared" si="9"/>
        <v>0</v>
      </c>
      <c r="BL36" s="70">
        <f t="shared" si="9"/>
        <v>0</v>
      </c>
      <c r="BM36" s="70">
        <f t="shared" si="9"/>
        <v>0</v>
      </c>
      <c r="BN36" s="70">
        <f t="shared" si="9"/>
        <v>0</v>
      </c>
      <c r="BO36" s="70">
        <f t="shared" si="9"/>
        <v>0</v>
      </c>
      <c r="BP36" s="70">
        <f t="shared" si="9"/>
        <v>0</v>
      </c>
      <c r="BQ36" s="70">
        <f t="shared" si="9"/>
        <v>0</v>
      </c>
      <c r="BR36" s="70">
        <f t="shared" ref="BR36:BY48" si="10">ROUND(BR4*BR$35,0)</f>
        <v>0</v>
      </c>
      <c r="BS36" s="70">
        <f t="shared" si="10"/>
        <v>0</v>
      </c>
      <c r="BT36" s="70">
        <f t="shared" si="10"/>
        <v>0</v>
      </c>
      <c r="BU36" s="70">
        <f t="shared" si="10"/>
        <v>0</v>
      </c>
      <c r="BV36" s="70">
        <f t="shared" si="10"/>
        <v>0</v>
      </c>
      <c r="BW36" s="70">
        <f t="shared" si="10"/>
        <v>0</v>
      </c>
      <c r="BX36" s="70">
        <f t="shared" si="10"/>
        <v>0</v>
      </c>
      <c r="BY36" s="70">
        <f t="shared" si="10"/>
        <v>0</v>
      </c>
      <c r="BZ36" s="71">
        <f t="shared" ref="BZ36:BZ49" si="11">SUM(F36:BY36)</f>
        <v>602</v>
      </c>
      <c r="CA36" s="51"/>
    </row>
    <row r="37" spans="1:79" ht="24.75" customHeight="1" x14ac:dyDescent="0.3">
      <c r="A37" s="68" t="str">
        <f t="shared" si="8"/>
        <v>Толстоусова Ольга</v>
      </c>
      <c r="B37" s="68" t="str">
        <f t="shared" si="8"/>
        <v>ГПХ</v>
      </c>
      <c r="C37" s="79">
        <f t="shared" si="8"/>
        <v>7.8E-2</v>
      </c>
      <c r="D37" s="57">
        <f t="shared" si="8"/>
        <v>0</v>
      </c>
      <c r="E37" s="58">
        <f t="shared" si="8"/>
        <v>2710</v>
      </c>
      <c r="F37" s="70">
        <f t="shared" si="9"/>
        <v>0</v>
      </c>
      <c r="G37" s="70">
        <f t="shared" si="9"/>
        <v>0</v>
      </c>
      <c r="H37" s="70">
        <f t="shared" si="9"/>
        <v>0</v>
      </c>
      <c r="I37" s="70">
        <f t="shared" si="9"/>
        <v>0</v>
      </c>
      <c r="J37" s="70">
        <f t="shared" si="9"/>
        <v>0</v>
      </c>
      <c r="K37" s="70">
        <f t="shared" si="9"/>
        <v>0</v>
      </c>
      <c r="L37" s="70">
        <f t="shared" si="9"/>
        <v>0</v>
      </c>
      <c r="M37" s="70">
        <f t="shared" si="9"/>
        <v>0</v>
      </c>
      <c r="N37" s="70">
        <f t="shared" si="9"/>
        <v>0</v>
      </c>
      <c r="O37" s="70">
        <f t="shared" si="9"/>
        <v>0</v>
      </c>
      <c r="P37" s="70">
        <f t="shared" si="9"/>
        <v>0</v>
      </c>
      <c r="Q37" s="70">
        <f t="shared" si="9"/>
        <v>0</v>
      </c>
      <c r="R37" s="70">
        <f t="shared" si="9"/>
        <v>0</v>
      </c>
      <c r="S37" s="70">
        <f t="shared" si="9"/>
        <v>0</v>
      </c>
      <c r="T37" s="70">
        <f t="shared" si="9"/>
        <v>0</v>
      </c>
      <c r="U37" s="70">
        <f t="shared" si="9"/>
        <v>0</v>
      </c>
      <c r="V37" s="70">
        <f t="shared" si="9"/>
        <v>0</v>
      </c>
      <c r="W37" s="70">
        <f t="shared" si="9"/>
        <v>0</v>
      </c>
      <c r="X37" s="70">
        <f t="shared" si="9"/>
        <v>0</v>
      </c>
      <c r="Y37" s="70">
        <f t="shared" si="9"/>
        <v>0</v>
      </c>
      <c r="Z37" s="70">
        <f t="shared" si="9"/>
        <v>0</v>
      </c>
      <c r="AA37" s="70">
        <f t="shared" si="9"/>
        <v>0</v>
      </c>
      <c r="AB37" s="70">
        <f t="shared" si="9"/>
        <v>0</v>
      </c>
      <c r="AC37" s="70">
        <f t="shared" si="9"/>
        <v>0</v>
      </c>
      <c r="AD37" s="70">
        <f t="shared" si="9"/>
        <v>0</v>
      </c>
      <c r="AE37" s="70">
        <f t="shared" si="9"/>
        <v>0</v>
      </c>
      <c r="AF37" s="70">
        <f t="shared" si="9"/>
        <v>0</v>
      </c>
      <c r="AG37" s="70">
        <f t="shared" si="9"/>
        <v>0</v>
      </c>
      <c r="AH37" s="70">
        <f t="shared" si="9"/>
        <v>0</v>
      </c>
      <c r="AI37" s="70">
        <f t="shared" si="9"/>
        <v>104</v>
      </c>
      <c r="AJ37" s="70">
        <f t="shared" si="9"/>
        <v>55</v>
      </c>
      <c r="AK37" s="70">
        <f t="shared" si="9"/>
        <v>57</v>
      </c>
      <c r="AL37" s="70">
        <f t="shared" si="9"/>
        <v>125</v>
      </c>
      <c r="AM37" s="70">
        <f t="shared" si="9"/>
        <v>0</v>
      </c>
      <c r="AN37" s="70">
        <f t="shared" si="9"/>
        <v>0</v>
      </c>
      <c r="AO37" s="70">
        <f t="shared" si="9"/>
        <v>0</v>
      </c>
      <c r="AP37" s="70">
        <f t="shared" si="9"/>
        <v>0</v>
      </c>
      <c r="AQ37" s="70">
        <f t="shared" si="9"/>
        <v>0</v>
      </c>
      <c r="AR37" s="70">
        <f t="shared" si="9"/>
        <v>0</v>
      </c>
      <c r="AS37" s="70">
        <f t="shared" si="9"/>
        <v>0</v>
      </c>
      <c r="AT37" s="70">
        <f t="shared" si="9"/>
        <v>0</v>
      </c>
      <c r="AU37" s="70">
        <f t="shared" si="9"/>
        <v>0</v>
      </c>
      <c r="AV37" s="70">
        <f t="shared" si="9"/>
        <v>0</v>
      </c>
      <c r="AW37" s="70">
        <f t="shared" si="9"/>
        <v>0</v>
      </c>
      <c r="AX37" s="70">
        <f t="shared" si="9"/>
        <v>0</v>
      </c>
      <c r="AY37" s="70">
        <f t="shared" si="9"/>
        <v>0</v>
      </c>
      <c r="AZ37" s="70">
        <f t="shared" si="9"/>
        <v>0</v>
      </c>
      <c r="BA37" s="70">
        <f t="shared" si="9"/>
        <v>0</v>
      </c>
      <c r="BB37" s="70">
        <f t="shared" si="9"/>
        <v>0</v>
      </c>
      <c r="BC37" s="70">
        <f t="shared" si="9"/>
        <v>0</v>
      </c>
      <c r="BD37" s="70">
        <f t="shared" si="9"/>
        <v>0</v>
      </c>
      <c r="BE37" s="70">
        <f t="shared" si="9"/>
        <v>0</v>
      </c>
      <c r="BF37" s="70">
        <f t="shared" si="9"/>
        <v>0</v>
      </c>
      <c r="BG37" s="70">
        <f t="shared" si="9"/>
        <v>0</v>
      </c>
      <c r="BH37" s="70">
        <f t="shared" si="9"/>
        <v>0</v>
      </c>
      <c r="BI37" s="70">
        <f t="shared" si="9"/>
        <v>0</v>
      </c>
      <c r="BJ37" s="70">
        <f t="shared" si="9"/>
        <v>0</v>
      </c>
      <c r="BK37" s="70">
        <f t="shared" si="9"/>
        <v>0</v>
      </c>
      <c r="BL37" s="70">
        <f t="shared" si="9"/>
        <v>0</v>
      </c>
      <c r="BM37" s="70">
        <f t="shared" si="9"/>
        <v>0</v>
      </c>
      <c r="BN37" s="70">
        <f t="shared" si="9"/>
        <v>0</v>
      </c>
      <c r="BO37" s="70">
        <f t="shared" si="9"/>
        <v>0</v>
      </c>
      <c r="BP37" s="70">
        <f t="shared" si="9"/>
        <v>0</v>
      </c>
      <c r="BQ37" s="70">
        <f t="shared" si="9"/>
        <v>0</v>
      </c>
      <c r="BR37" s="70">
        <f t="shared" si="10"/>
        <v>0</v>
      </c>
      <c r="BS37" s="70">
        <f t="shared" si="10"/>
        <v>0</v>
      </c>
      <c r="BT37" s="70">
        <f t="shared" si="10"/>
        <v>0</v>
      </c>
      <c r="BU37" s="70">
        <f t="shared" si="10"/>
        <v>0</v>
      </c>
      <c r="BV37" s="70">
        <f t="shared" si="10"/>
        <v>0</v>
      </c>
      <c r="BW37" s="70">
        <f t="shared" si="10"/>
        <v>0</v>
      </c>
      <c r="BX37" s="70">
        <f t="shared" si="10"/>
        <v>0</v>
      </c>
      <c r="BY37" s="70">
        <f t="shared" si="10"/>
        <v>0</v>
      </c>
      <c r="BZ37" s="71">
        <f t="shared" si="11"/>
        <v>341</v>
      </c>
      <c r="CA37" s="51"/>
    </row>
    <row r="38" spans="1:79" ht="30" customHeight="1" x14ac:dyDescent="0.3">
      <c r="A38" s="68" t="str">
        <f t="shared" si="8"/>
        <v>Карпов Алексей</v>
      </c>
      <c r="B38" s="68" t="str">
        <f t="shared" si="8"/>
        <v>СМЗ</v>
      </c>
      <c r="C38" s="79">
        <f t="shared" si="8"/>
        <v>0</v>
      </c>
      <c r="D38" s="57">
        <f t="shared" si="8"/>
        <v>0</v>
      </c>
      <c r="E38" s="58">
        <f t="shared" si="8"/>
        <v>3600</v>
      </c>
      <c r="F38" s="70">
        <f t="shared" si="9"/>
        <v>0</v>
      </c>
      <c r="G38" s="70">
        <f t="shared" si="9"/>
        <v>0</v>
      </c>
      <c r="H38" s="70">
        <f t="shared" si="9"/>
        <v>0</v>
      </c>
      <c r="I38" s="70">
        <f t="shared" si="9"/>
        <v>0</v>
      </c>
      <c r="J38" s="70">
        <f t="shared" si="9"/>
        <v>0</v>
      </c>
      <c r="K38" s="70">
        <f t="shared" si="9"/>
        <v>0</v>
      </c>
      <c r="L38" s="70">
        <f t="shared" si="9"/>
        <v>0</v>
      </c>
      <c r="M38" s="70">
        <f t="shared" si="9"/>
        <v>0</v>
      </c>
      <c r="N38" s="70">
        <f t="shared" si="9"/>
        <v>0</v>
      </c>
      <c r="O38" s="70">
        <f t="shared" si="9"/>
        <v>0</v>
      </c>
      <c r="P38" s="70">
        <f t="shared" si="9"/>
        <v>0</v>
      </c>
      <c r="Q38" s="70">
        <f t="shared" si="9"/>
        <v>0</v>
      </c>
      <c r="R38" s="70">
        <f t="shared" si="9"/>
        <v>0</v>
      </c>
      <c r="S38" s="70">
        <f t="shared" si="9"/>
        <v>0</v>
      </c>
      <c r="T38" s="70">
        <f t="shared" si="9"/>
        <v>0</v>
      </c>
      <c r="U38" s="70">
        <f t="shared" si="9"/>
        <v>0</v>
      </c>
      <c r="V38" s="70">
        <f t="shared" si="9"/>
        <v>0</v>
      </c>
      <c r="W38" s="70">
        <f t="shared" si="9"/>
        <v>0</v>
      </c>
      <c r="X38" s="70">
        <f t="shared" si="9"/>
        <v>0</v>
      </c>
      <c r="Y38" s="70">
        <f t="shared" si="9"/>
        <v>0</v>
      </c>
      <c r="Z38" s="70">
        <f t="shared" si="9"/>
        <v>0</v>
      </c>
      <c r="AA38" s="70">
        <f t="shared" si="9"/>
        <v>0</v>
      </c>
      <c r="AB38" s="70">
        <f t="shared" si="9"/>
        <v>0</v>
      </c>
      <c r="AC38" s="70">
        <f t="shared" si="9"/>
        <v>0</v>
      </c>
      <c r="AD38" s="70">
        <f t="shared" si="9"/>
        <v>0</v>
      </c>
      <c r="AE38" s="70">
        <f t="shared" si="9"/>
        <v>0</v>
      </c>
      <c r="AF38" s="70">
        <f t="shared" si="9"/>
        <v>0</v>
      </c>
      <c r="AG38" s="70">
        <f t="shared" si="9"/>
        <v>0</v>
      </c>
      <c r="AH38" s="70">
        <f t="shared" si="9"/>
        <v>24</v>
      </c>
      <c r="AI38" s="70">
        <f t="shared" si="9"/>
        <v>85</v>
      </c>
      <c r="AJ38" s="70">
        <f t="shared" si="9"/>
        <v>0</v>
      </c>
      <c r="AK38" s="70">
        <f t="shared" si="9"/>
        <v>84</v>
      </c>
      <c r="AL38" s="70">
        <f t="shared" si="9"/>
        <v>0</v>
      </c>
      <c r="AM38" s="70">
        <f t="shared" si="9"/>
        <v>0</v>
      </c>
      <c r="AN38" s="70">
        <f t="shared" si="9"/>
        <v>0</v>
      </c>
      <c r="AO38" s="70">
        <f t="shared" si="9"/>
        <v>0</v>
      </c>
      <c r="AP38" s="70">
        <f t="shared" si="9"/>
        <v>0</v>
      </c>
      <c r="AQ38" s="70">
        <f t="shared" si="9"/>
        <v>0</v>
      </c>
      <c r="AR38" s="70">
        <f t="shared" si="9"/>
        <v>0</v>
      </c>
      <c r="AS38" s="70">
        <f t="shared" si="9"/>
        <v>0</v>
      </c>
      <c r="AT38" s="70">
        <f t="shared" si="9"/>
        <v>0</v>
      </c>
      <c r="AU38" s="70">
        <f t="shared" si="9"/>
        <v>0</v>
      </c>
      <c r="AV38" s="70">
        <f t="shared" si="9"/>
        <v>0</v>
      </c>
      <c r="AW38" s="70">
        <f t="shared" si="9"/>
        <v>0</v>
      </c>
      <c r="AX38" s="70">
        <f t="shared" si="9"/>
        <v>0</v>
      </c>
      <c r="AY38" s="70">
        <f t="shared" si="9"/>
        <v>0</v>
      </c>
      <c r="AZ38" s="70">
        <f t="shared" si="9"/>
        <v>0</v>
      </c>
      <c r="BA38" s="70">
        <f t="shared" si="9"/>
        <v>0</v>
      </c>
      <c r="BB38" s="70">
        <f t="shared" si="9"/>
        <v>0</v>
      </c>
      <c r="BC38" s="70">
        <f t="shared" si="9"/>
        <v>0</v>
      </c>
      <c r="BD38" s="70">
        <f t="shared" si="9"/>
        <v>0</v>
      </c>
      <c r="BE38" s="70">
        <f t="shared" si="9"/>
        <v>0</v>
      </c>
      <c r="BF38" s="70">
        <f t="shared" si="9"/>
        <v>0</v>
      </c>
      <c r="BG38" s="70">
        <f t="shared" si="9"/>
        <v>0</v>
      </c>
      <c r="BH38" s="70">
        <f t="shared" si="9"/>
        <v>0</v>
      </c>
      <c r="BI38" s="70">
        <f t="shared" si="9"/>
        <v>0</v>
      </c>
      <c r="BJ38" s="70">
        <f t="shared" si="9"/>
        <v>0</v>
      </c>
      <c r="BK38" s="70">
        <f t="shared" si="9"/>
        <v>0</v>
      </c>
      <c r="BL38" s="70">
        <f t="shared" si="9"/>
        <v>0</v>
      </c>
      <c r="BM38" s="70">
        <f t="shared" si="9"/>
        <v>0</v>
      </c>
      <c r="BN38" s="70">
        <f t="shared" si="9"/>
        <v>0</v>
      </c>
      <c r="BO38" s="70">
        <f t="shared" si="9"/>
        <v>0</v>
      </c>
      <c r="BP38" s="70">
        <f t="shared" si="9"/>
        <v>0</v>
      </c>
      <c r="BQ38" s="70">
        <f t="shared" si="9"/>
        <v>0</v>
      </c>
      <c r="BR38" s="70">
        <f t="shared" si="10"/>
        <v>0</v>
      </c>
      <c r="BS38" s="70">
        <f t="shared" si="10"/>
        <v>0</v>
      </c>
      <c r="BT38" s="70">
        <f t="shared" si="10"/>
        <v>0</v>
      </c>
      <c r="BU38" s="70">
        <f t="shared" si="10"/>
        <v>0</v>
      </c>
      <c r="BV38" s="70">
        <f t="shared" si="10"/>
        <v>0</v>
      </c>
      <c r="BW38" s="70">
        <f t="shared" si="10"/>
        <v>0</v>
      </c>
      <c r="BX38" s="70">
        <f t="shared" si="10"/>
        <v>0</v>
      </c>
      <c r="BY38" s="70">
        <f t="shared" si="10"/>
        <v>0</v>
      </c>
      <c r="BZ38" s="71">
        <f t="shared" si="11"/>
        <v>193</v>
      </c>
    </row>
    <row r="39" spans="1:79" ht="30.75" customHeight="1" x14ac:dyDescent="0.3">
      <c r="A39" s="68" t="str">
        <f t="shared" si="8"/>
        <v>Черепанов Валерий</v>
      </c>
      <c r="B39" s="68" t="str">
        <f t="shared" si="8"/>
        <v>СМЗ</v>
      </c>
      <c r="C39" s="79">
        <f t="shared" si="8"/>
        <v>0</v>
      </c>
      <c r="D39" s="57">
        <f t="shared" si="8"/>
        <v>0</v>
      </c>
      <c r="E39" s="58">
        <f t="shared" si="8"/>
        <v>3130</v>
      </c>
      <c r="F39" s="70">
        <f t="shared" si="9"/>
        <v>0</v>
      </c>
      <c r="G39" s="70">
        <f t="shared" si="9"/>
        <v>0</v>
      </c>
      <c r="H39" s="70">
        <f t="shared" si="9"/>
        <v>0</v>
      </c>
      <c r="I39" s="70">
        <f t="shared" si="9"/>
        <v>0</v>
      </c>
      <c r="J39" s="70">
        <f t="shared" si="9"/>
        <v>0</v>
      </c>
      <c r="K39" s="70">
        <f t="shared" si="9"/>
        <v>0</v>
      </c>
      <c r="L39" s="70">
        <f t="shared" si="9"/>
        <v>0</v>
      </c>
      <c r="M39" s="70">
        <f t="shared" si="9"/>
        <v>0</v>
      </c>
      <c r="N39" s="70">
        <f t="shared" si="9"/>
        <v>0</v>
      </c>
      <c r="O39" s="70">
        <f t="shared" si="9"/>
        <v>0</v>
      </c>
      <c r="P39" s="70">
        <f t="shared" si="9"/>
        <v>0</v>
      </c>
      <c r="Q39" s="70">
        <f t="shared" si="9"/>
        <v>0</v>
      </c>
      <c r="R39" s="70">
        <f t="shared" si="9"/>
        <v>0</v>
      </c>
      <c r="S39" s="70">
        <f t="shared" si="9"/>
        <v>0</v>
      </c>
      <c r="T39" s="70">
        <f t="shared" si="9"/>
        <v>0</v>
      </c>
      <c r="U39" s="70">
        <f t="shared" si="9"/>
        <v>0</v>
      </c>
      <c r="V39" s="70">
        <f t="shared" si="9"/>
        <v>0</v>
      </c>
      <c r="W39" s="70">
        <f t="shared" si="9"/>
        <v>0</v>
      </c>
      <c r="X39" s="70">
        <f t="shared" si="9"/>
        <v>0</v>
      </c>
      <c r="Y39" s="70">
        <f t="shared" si="9"/>
        <v>0</v>
      </c>
      <c r="Z39" s="70">
        <f t="shared" si="9"/>
        <v>0</v>
      </c>
      <c r="AA39" s="70">
        <f t="shared" si="9"/>
        <v>0</v>
      </c>
      <c r="AB39" s="70">
        <f t="shared" si="9"/>
        <v>0</v>
      </c>
      <c r="AC39" s="70">
        <f t="shared" si="9"/>
        <v>0</v>
      </c>
      <c r="AD39" s="70">
        <f t="shared" si="9"/>
        <v>0</v>
      </c>
      <c r="AE39" s="70">
        <f t="shared" si="9"/>
        <v>0</v>
      </c>
      <c r="AF39" s="70">
        <f t="shared" si="9"/>
        <v>0</v>
      </c>
      <c r="AG39" s="70">
        <f t="shared" si="9"/>
        <v>0</v>
      </c>
      <c r="AH39" s="70">
        <f t="shared" si="9"/>
        <v>40</v>
      </c>
      <c r="AI39" s="70">
        <f t="shared" si="9"/>
        <v>128</v>
      </c>
      <c r="AJ39" s="70">
        <f t="shared" si="9"/>
        <v>0</v>
      </c>
      <c r="AK39" s="70">
        <f t="shared" si="9"/>
        <v>0</v>
      </c>
      <c r="AL39" s="70">
        <f t="shared" si="9"/>
        <v>0</v>
      </c>
      <c r="AM39" s="70">
        <f t="shared" si="9"/>
        <v>0</v>
      </c>
      <c r="AN39" s="70">
        <f t="shared" si="9"/>
        <v>0</v>
      </c>
      <c r="AO39" s="70">
        <f t="shared" si="9"/>
        <v>0</v>
      </c>
      <c r="AP39" s="70">
        <f t="shared" si="9"/>
        <v>0</v>
      </c>
      <c r="AQ39" s="70">
        <f t="shared" si="9"/>
        <v>0</v>
      </c>
      <c r="AR39" s="70">
        <f t="shared" si="9"/>
        <v>0</v>
      </c>
      <c r="AS39" s="70">
        <f t="shared" si="9"/>
        <v>0</v>
      </c>
      <c r="AT39" s="70">
        <f t="shared" si="9"/>
        <v>0</v>
      </c>
      <c r="AU39" s="70">
        <f t="shared" si="9"/>
        <v>0</v>
      </c>
      <c r="AV39" s="70">
        <f t="shared" si="9"/>
        <v>0</v>
      </c>
      <c r="AW39" s="70">
        <f t="shared" si="9"/>
        <v>0</v>
      </c>
      <c r="AX39" s="70">
        <f t="shared" si="9"/>
        <v>0</v>
      </c>
      <c r="AY39" s="70">
        <f t="shared" si="9"/>
        <v>0</v>
      </c>
      <c r="AZ39" s="70">
        <f t="shared" si="9"/>
        <v>0</v>
      </c>
      <c r="BA39" s="70">
        <f t="shared" si="9"/>
        <v>0</v>
      </c>
      <c r="BB39" s="70">
        <f t="shared" si="9"/>
        <v>0</v>
      </c>
      <c r="BC39" s="70">
        <f t="shared" si="9"/>
        <v>0</v>
      </c>
      <c r="BD39" s="70">
        <f t="shared" si="9"/>
        <v>0</v>
      </c>
      <c r="BE39" s="70">
        <f t="shared" si="9"/>
        <v>0</v>
      </c>
      <c r="BF39" s="70">
        <f t="shared" si="9"/>
        <v>0</v>
      </c>
      <c r="BG39" s="70">
        <f t="shared" si="9"/>
        <v>0</v>
      </c>
      <c r="BH39" s="70">
        <f t="shared" si="9"/>
        <v>0</v>
      </c>
      <c r="BI39" s="70">
        <f t="shared" si="9"/>
        <v>0</v>
      </c>
      <c r="BJ39" s="70">
        <f t="shared" si="9"/>
        <v>0</v>
      </c>
      <c r="BK39" s="70">
        <f t="shared" si="9"/>
        <v>0</v>
      </c>
      <c r="BL39" s="70">
        <f t="shared" si="9"/>
        <v>0</v>
      </c>
      <c r="BM39" s="70">
        <f t="shared" si="9"/>
        <v>0</v>
      </c>
      <c r="BN39" s="70">
        <f t="shared" si="9"/>
        <v>0</v>
      </c>
      <c r="BO39" s="70">
        <f t="shared" si="9"/>
        <v>0</v>
      </c>
      <c r="BP39" s="70">
        <f t="shared" si="9"/>
        <v>0</v>
      </c>
      <c r="BQ39" s="70">
        <f t="shared" ref="BQ39" si="12">ROUND(BQ7*BQ$35,0)</f>
        <v>0</v>
      </c>
      <c r="BR39" s="70">
        <f t="shared" si="10"/>
        <v>0</v>
      </c>
      <c r="BS39" s="70">
        <f t="shared" si="10"/>
        <v>0</v>
      </c>
      <c r="BT39" s="70">
        <f t="shared" si="10"/>
        <v>0</v>
      </c>
      <c r="BU39" s="70">
        <f t="shared" si="10"/>
        <v>0</v>
      </c>
      <c r="BV39" s="70">
        <f t="shared" si="10"/>
        <v>0</v>
      </c>
      <c r="BW39" s="70">
        <f t="shared" si="10"/>
        <v>0</v>
      </c>
      <c r="BX39" s="70">
        <f t="shared" si="10"/>
        <v>0</v>
      </c>
      <c r="BY39" s="70">
        <f t="shared" si="10"/>
        <v>0</v>
      </c>
      <c r="BZ39" s="71">
        <f t="shared" si="11"/>
        <v>168</v>
      </c>
    </row>
    <row r="40" spans="1:79" ht="33.75" customHeight="1" x14ac:dyDescent="0.3">
      <c r="A40" s="68" t="str">
        <f t="shared" si="8"/>
        <v>Сазонов Павел</v>
      </c>
      <c r="B40" s="68" t="str">
        <f t="shared" si="8"/>
        <v>ИП</v>
      </c>
      <c r="C40" s="79">
        <f t="shared" si="8"/>
        <v>0</v>
      </c>
      <c r="D40" s="57">
        <f t="shared" si="8"/>
        <v>0</v>
      </c>
      <c r="E40" s="58">
        <f t="shared" si="8"/>
        <v>2500</v>
      </c>
      <c r="F40" s="70">
        <f t="shared" ref="F40:BQ43" si="13">ROUND(F8*F$35,0)</f>
        <v>0</v>
      </c>
      <c r="G40" s="70">
        <f t="shared" si="13"/>
        <v>0</v>
      </c>
      <c r="H40" s="70">
        <f t="shared" si="13"/>
        <v>0</v>
      </c>
      <c r="I40" s="70">
        <f t="shared" si="13"/>
        <v>0</v>
      </c>
      <c r="J40" s="70">
        <f t="shared" si="13"/>
        <v>0</v>
      </c>
      <c r="K40" s="70">
        <f t="shared" si="13"/>
        <v>0</v>
      </c>
      <c r="L40" s="70">
        <f t="shared" si="13"/>
        <v>0</v>
      </c>
      <c r="M40" s="70">
        <f t="shared" si="13"/>
        <v>0</v>
      </c>
      <c r="N40" s="70">
        <f t="shared" si="13"/>
        <v>0</v>
      </c>
      <c r="O40" s="70">
        <f t="shared" si="13"/>
        <v>0</v>
      </c>
      <c r="P40" s="70">
        <f t="shared" si="13"/>
        <v>0</v>
      </c>
      <c r="Q40" s="70">
        <f t="shared" si="13"/>
        <v>0</v>
      </c>
      <c r="R40" s="70">
        <f t="shared" si="13"/>
        <v>0</v>
      </c>
      <c r="S40" s="70">
        <f t="shared" si="13"/>
        <v>0</v>
      </c>
      <c r="T40" s="70">
        <f t="shared" si="13"/>
        <v>0</v>
      </c>
      <c r="U40" s="70">
        <f t="shared" si="13"/>
        <v>0</v>
      </c>
      <c r="V40" s="70">
        <f t="shared" si="13"/>
        <v>0</v>
      </c>
      <c r="W40" s="70">
        <f t="shared" si="13"/>
        <v>0</v>
      </c>
      <c r="X40" s="70">
        <f t="shared" si="13"/>
        <v>0</v>
      </c>
      <c r="Y40" s="70">
        <f t="shared" si="13"/>
        <v>0</v>
      </c>
      <c r="Z40" s="70">
        <f t="shared" si="13"/>
        <v>0</v>
      </c>
      <c r="AA40" s="70">
        <f t="shared" si="13"/>
        <v>0</v>
      </c>
      <c r="AB40" s="70">
        <f t="shared" si="13"/>
        <v>0</v>
      </c>
      <c r="AC40" s="70">
        <f t="shared" si="13"/>
        <v>0</v>
      </c>
      <c r="AD40" s="70">
        <f t="shared" si="13"/>
        <v>0</v>
      </c>
      <c r="AE40" s="70">
        <f t="shared" si="13"/>
        <v>0</v>
      </c>
      <c r="AF40" s="70">
        <f t="shared" si="13"/>
        <v>0</v>
      </c>
      <c r="AG40" s="70">
        <f t="shared" si="13"/>
        <v>0</v>
      </c>
      <c r="AH40" s="70">
        <f t="shared" si="13"/>
        <v>0</v>
      </c>
      <c r="AI40" s="70">
        <f t="shared" si="13"/>
        <v>51</v>
      </c>
      <c r="AJ40" s="70">
        <f t="shared" si="13"/>
        <v>0</v>
      </c>
      <c r="AK40" s="70">
        <f t="shared" si="13"/>
        <v>0</v>
      </c>
      <c r="AL40" s="70">
        <f t="shared" si="13"/>
        <v>0</v>
      </c>
      <c r="AM40" s="70">
        <f t="shared" si="13"/>
        <v>0</v>
      </c>
      <c r="AN40" s="70">
        <f t="shared" si="13"/>
        <v>0</v>
      </c>
      <c r="AO40" s="70">
        <f t="shared" si="13"/>
        <v>0</v>
      </c>
      <c r="AP40" s="70">
        <f t="shared" si="13"/>
        <v>0</v>
      </c>
      <c r="AQ40" s="70">
        <f t="shared" si="13"/>
        <v>0</v>
      </c>
      <c r="AR40" s="70">
        <f t="shared" si="13"/>
        <v>0</v>
      </c>
      <c r="AS40" s="70">
        <f t="shared" si="13"/>
        <v>0</v>
      </c>
      <c r="AT40" s="70">
        <f t="shared" si="13"/>
        <v>0</v>
      </c>
      <c r="AU40" s="70">
        <f t="shared" si="13"/>
        <v>0</v>
      </c>
      <c r="AV40" s="70">
        <f t="shared" si="13"/>
        <v>0</v>
      </c>
      <c r="AW40" s="70">
        <f t="shared" si="13"/>
        <v>0</v>
      </c>
      <c r="AX40" s="70">
        <f t="shared" si="13"/>
        <v>0</v>
      </c>
      <c r="AY40" s="70">
        <f t="shared" si="13"/>
        <v>0</v>
      </c>
      <c r="AZ40" s="70">
        <f t="shared" si="13"/>
        <v>0</v>
      </c>
      <c r="BA40" s="70">
        <f t="shared" si="13"/>
        <v>0</v>
      </c>
      <c r="BB40" s="70">
        <f t="shared" si="13"/>
        <v>0</v>
      </c>
      <c r="BC40" s="70">
        <f t="shared" si="13"/>
        <v>0</v>
      </c>
      <c r="BD40" s="70">
        <f t="shared" si="13"/>
        <v>0</v>
      </c>
      <c r="BE40" s="70">
        <f t="shared" si="13"/>
        <v>0</v>
      </c>
      <c r="BF40" s="70">
        <f t="shared" si="13"/>
        <v>0</v>
      </c>
      <c r="BG40" s="70">
        <f t="shared" si="13"/>
        <v>0</v>
      </c>
      <c r="BH40" s="70">
        <f t="shared" si="13"/>
        <v>0</v>
      </c>
      <c r="BI40" s="70">
        <f t="shared" si="13"/>
        <v>0</v>
      </c>
      <c r="BJ40" s="70">
        <f t="shared" si="13"/>
        <v>0</v>
      </c>
      <c r="BK40" s="70">
        <f t="shared" si="13"/>
        <v>0</v>
      </c>
      <c r="BL40" s="70">
        <f t="shared" si="13"/>
        <v>0</v>
      </c>
      <c r="BM40" s="70">
        <f t="shared" si="13"/>
        <v>0</v>
      </c>
      <c r="BN40" s="70">
        <f t="shared" si="13"/>
        <v>0</v>
      </c>
      <c r="BO40" s="70">
        <f t="shared" si="13"/>
        <v>0</v>
      </c>
      <c r="BP40" s="70">
        <f t="shared" si="13"/>
        <v>0</v>
      </c>
      <c r="BQ40" s="70">
        <f t="shared" si="13"/>
        <v>0</v>
      </c>
      <c r="BR40" s="70">
        <f t="shared" si="10"/>
        <v>0</v>
      </c>
      <c r="BS40" s="70">
        <f t="shared" si="10"/>
        <v>0</v>
      </c>
      <c r="BT40" s="70">
        <f t="shared" si="10"/>
        <v>0</v>
      </c>
      <c r="BU40" s="70">
        <f t="shared" si="10"/>
        <v>0</v>
      </c>
      <c r="BV40" s="70">
        <f t="shared" si="10"/>
        <v>0</v>
      </c>
      <c r="BW40" s="70">
        <f t="shared" si="10"/>
        <v>0</v>
      </c>
      <c r="BX40" s="70">
        <f t="shared" si="10"/>
        <v>0</v>
      </c>
      <c r="BY40" s="70">
        <f t="shared" si="10"/>
        <v>0</v>
      </c>
      <c r="BZ40" s="71">
        <f t="shared" si="11"/>
        <v>51</v>
      </c>
    </row>
    <row r="41" spans="1:79" ht="21.75" customHeight="1" x14ac:dyDescent="0.3">
      <c r="A41" s="68">
        <f t="shared" si="8"/>
        <v>0</v>
      </c>
      <c r="B41" s="68" t="str">
        <f t="shared" si="8"/>
        <v/>
      </c>
      <c r="C41" s="79">
        <f t="shared" si="8"/>
        <v>0</v>
      </c>
      <c r="D41" s="57">
        <f t="shared" si="8"/>
        <v>0</v>
      </c>
      <c r="E41" s="58">
        <f t="shared" si="8"/>
        <v>0</v>
      </c>
      <c r="F41" s="70">
        <f t="shared" si="13"/>
        <v>0</v>
      </c>
      <c r="G41" s="70">
        <f t="shared" si="13"/>
        <v>0</v>
      </c>
      <c r="H41" s="70">
        <f t="shared" si="13"/>
        <v>0</v>
      </c>
      <c r="I41" s="70">
        <f t="shared" si="13"/>
        <v>0</v>
      </c>
      <c r="J41" s="70">
        <f t="shared" si="13"/>
        <v>0</v>
      </c>
      <c r="K41" s="70">
        <f t="shared" si="13"/>
        <v>0</v>
      </c>
      <c r="L41" s="70">
        <f t="shared" si="13"/>
        <v>0</v>
      </c>
      <c r="M41" s="70">
        <f t="shared" si="13"/>
        <v>0</v>
      </c>
      <c r="N41" s="70">
        <f t="shared" si="13"/>
        <v>0</v>
      </c>
      <c r="O41" s="70">
        <f t="shared" si="13"/>
        <v>0</v>
      </c>
      <c r="P41" s="70">
        <f t="shared" si="13"/>
        <v>0</v>
      </c>
      <c r="Q41" s="70">
        <f t="shared" si="13"/>
        <v>0</v>
      </c>
      <c r="R41" s="70">
        <f t="shared" si="13"/>
        <v>0</v>
      </c>
      <c r="S41" s="70">
        <f t="shared" si="13"/>
        <v>0</v>
      </c>
      <c r="T41" s="70">
        <f t="shared" si="13"/>
        <v>0</v>
      </c>
      <c r="U41" s="70">
        <f t="shared" si="13"/>
        <v>0</v>
      </c>
      <c r="V41" s="70">
        <f t="shared" si="13"/>
        <v>0</v>
      </c>
      <c r="W41" s="70">
        <f t="shared" si="13"/>
        <v>0</v>
      </c>
      <c r="X41" s="70">
        <f t="shared" si="13"/>
        <v>0</v>
      </c>
      <c r="Y41" s="70">
        <f t="shared" si="13"/>
        <v>0</v>
      </c>
      <c r="Z41" s="70">
        <f t="shared" si="13"/>
        <v>0</v>
      </c>
      <c r="AA41" s="70">
        <f t="shared" si="13"/>
        <v>0</v>
      </c>
      <c r="AB41" s="70">
        <f t="shared" si="13"/>
        <v>0</v>
      </c>
      <c r="AC41" s="70">
        <f t="shared" si="13"/>
        <v>0</v>
      </c>
      <c r="AD41" s="70">
        <f t="shared" si="13"/>
        <v>0</v>
      </c>
      <c r="AE41" s="70">
        <f t="shared" si="13"/>
        <v>0</v>
      </c>
      <c r="AF41" s="70">
        <f t="shared" si="13"/>
        <v>0</v>
      </c>
      <c r="AG41" s="70">
        <f t="shared" si="13"/>
        <v>0</v>
      </c>
      <c r="AH41" s="70">
        <f t="shared" si="13"/>
        <v>0</v>
      </c>
      <c r="AI41" s="70">
        <f t="shared" si="13"/>
        <v>0</v>
      </c>
      <c r="AJ41" s="70">
        <f t="shared" si="13"/>
        <v>0</v>
      </c>
      <c r="AK41" s="70">
        <f t="shared" si="13"/>
        <v>0</v>
      </c>
      <c r="AL41" s="70">
        <f t="shared" si="13"/>
        <v>0</v>
      </c>
      <c r="AM41" s="70">
        <f t="shared" si="13"/>
        <v>0</v>
      </c>
      <c r="AN41" s="70">
        <f t="shared" si="13"/>
        <v>0</v>
      </c>
      <c r="AO41" s="70">
        <f t="shared" si="13"/>
        <v>0</v>
      </c>
      <c r="AP41" s="70">
        <f t="shared" si="13"/>
        <v>0</v>
      </c>
      <c r="AQ41" s="70">
        <f t="shared" si="13"/>
        <v>0</v>
      </c>
      <c r="AR41" s="70">
        <f t="shared" si="13"/>
        <v>0</v>
      </c>
      <c r="AS41" s="70">
        <f t="shared" si="13"/>
        <v>0</v>
      </c>
      <c r="AT41" s="70">
        <f t="shared" si="13"/>
        <v>0</v>
      </c>
      <c r="AU41" s="70">
        <f t="shared" si="13"/>
        <v>0</v>
      </c>
      <c r="AV41" s="70">
        <f t="shared" si="13"/>
        <v>0</v>
      </c>
      <c r="AW41" s="70">
        <f t="shared" si="13"/>
        <v>0</v>
      </c>
      <c r="AX41" s="70">
        <f t="shared" si="13"/>
        <v>0</v>
      </c>
      <c r="AY41" s="70">
        <f t="shared" si="13"/>
        <v>0</v>
      </c>
      <c r="AZ41" s="70">
        <f t="shared" si="13"/>
        <v>0</v>
      </c>
      <c r="BA41" s="70">
        <f t="shared" si="13"/>
        <v>0</v>
      </c>
      <c r="BB41" s="70">
        <f t="shared" si="13"/>
        <v>0</v>
      </c>
      <c r="BC41" s="70">
        <f t="shared" si="13"/>
        <v>0</v>
      </c>
      <c r="BD41" s="70">
        <f t="shared" si="13"/>
        <v>0</v>
      </c>
      <c r="BE41" s="70">
        <f t="shared" si="13"/>
        <v>0</v>
      </c>
      <c r="BF41" s="70">
        <f t="shared" si="13"/>
        <v>0</v>
      </c>
      <c r="BG41" s="70">
        <f t="shared" si="13"/>
        <v>0</v>
      </c>
      <c r="BH41" s="70">
        <f t="shared" si="13"/>
        <v>0</v>
      </c>
      <c r="BI41" s="70">
        <f t="shared" si="13"/>
        <v>0</v>
      </c>
      <c r="BJ41" s="70">
        <f t="shared" si="13"/>
        <v>0</v>
      </c>
      <c r="BK41" s="70">
        <f t="shared" si="13"/>
        <v>0</v>
      </c>
      <c r="BL41" s="70">
        <f t="shared" si="13"/>
        <v>0</v>
      </c>
      <c r="BM41" s="70">
        <f t="shared" si="13"/>
        <v>0</v>
      </c>
      <c r="BN41" s="70">
        <f t="shared" si="13"/>
        <v>0</v>
      </c>
      <c r="BO41" s="70">
        <f t="shared" si="13"/>
        <v>0</v>
      </c>
      <c r="BP41" s="70">
        <f t="shared" si="13"/>
        <v>0</v>
      </c>
      <c r="BQ41" s="70">
        <f t="shared" si="13"/>
        <v>0</v>
      </c>
      <c r="BR41" s="70">
        <f t="shared" si="10"/>
        <v>0</v>
      </c>
      <c r="BS41" s="70">
        <f t="shared" si="10"/>
        <v>0</v>
      </c>
      <c r="BT41" s="70">
        <f t="shared" si="10"/>
        <v>0</v>
      </c>
      <c r="BU41" s="70">
        <f t="shared" si="10"/>
        <v>0</v>
      </c>
      <c r="BV41" s="70">
        <f t="shared" si="10"/>
        <v>0</v>
      </c>
      <c r="BW41" s="70">
        <f t="shared" si="10"/>
        <v>0</v>
      </c>
      <c r="BX41" s="70">
        <f t="shared" si="10"/>
        <v>0</v>
      </c>
      <c r="BY41" s="70">
        <f t="shared" si="10"/>
        <v>0</v>
      </c>
      <c r="BZ41" s="71">
        <f t="shared" si="11"/>
        <v>0</v>
      </c>
    </row>
    <row r="42" spans="1:79" ht="33" customHeight="1" x14ac:dyDescent="0.3">
      <c r="A42" s="68">
        <f t="shared" si="8"/>
        <v>0</v>
      </c>
      <c r="B42" s="68" t="str">
        <f t="shared" si="8"/>
        <v/>
      </c>
      <c r="C42" s="79">
        <f t="shared" si="8"/>
        <v>0</v>
      </c>
      <c r="D42" s="57">
        <f t="shared" si="8"/>
        <v>0</v>
      </c>
      <c r="E42" s="58">
        <f t="shared" si="8"/>
        <v>0</v>
      </c>
      <c r="F42" s="70">
        <f t="shared" si="13"/>
        <v>0</v>
      </c>
      <c r="G42" s="70">
        <f t="shared" si="13"/>
        <v>0</v>
      </c>
      <c r="H42" s="70">
        <f t="shared" si="13"/>
        <v>0</v>
      </c>
      <c r="I42" s="70">
        <f t="shared" si="13"/>
        <v>0</v>
      </c>
      <c r="J42" s="70">
        <f t="shared" si="13"/>
        <v>0</v>
      </c>
      <c r="K42" s="70">
        <f t="shared" si="13"/>
        <v>0</v>
      </c>
      <c r="L42" s="70">
        <f t="shared" si="13"/>
        <v>0</v>
      </c>
      <c r="M42" s="70">
        <f t="shared" si="13"/>
        <v>0</v>
      </c>
      <c r="N42" s="70">
        <f t="shared" si="13"/>
        <v>0</v>
      </c>
      <c r="O42" s="70">
        <f t="shared" si="13"/>
        <v>0</v>
      </c>
      <c r="P42" s="70">
        <f t="shared" si="13"/>
        <v>0</v>
      </c>
      <c r="Q42" s="70">
        <f t="shared" si="13"/>
        <v>0</v>
      </c>
      <c r="R42" s="70">
        <f t="shared" si="13"/>
        <v>0</v>
      </c>
      <c r="S42" s="70">
        <f t="shared" si="13"/>
        <v>0</v>
      </c>
      <c r="T42" s="70">
        <f t="shared" si="13"/>
        <v>0</v>
      </c>
      <c r="U42" s="70">
        <f t="shared" si="13"/>
        <v>0</v>
      </c>
      <c r="V42" s="70">
        <f t="shared" si="13"/>
        <v>0</v>
      </c>
      <c r="W42" s="70">
        <f t="shared" si="13"/>
        <v>0</v>
      </c>
      <c r="X42" s="70">
        <f t="shared" si="13"/>
        <v>0</v>
      </c>
      <c r="Y42" s="70">
        <f t="shared" si="13"/>
        <v>0</v>
      </c>
      <c r="Z42" s="70">
        <f t="shared" si="13"/>
        <v>0</v>
      </c>
      <c r="AA42" s="70">
        <f t="shared" si="13"/>
        <v>0</v>
      </c>
      <c r="AB42" s="70">
        <f t="shared" si="13"/>
        <v>0</v>
      </c>
      <c r="AC42" s="70">
        <f t="shared" si="13"/>
        <v>0</v>
      </c>
      <c r="AD42" s="70">
        <f t="shared" si="13"/>
        <v>0</v>
      </c>
      <c r="AE42" s="70">
        <f t="shared" si="13"/>
        <v>0</v>
      </c>
      <c r="AF42" s="70">
        <f t="shared" si="13"/>
        <v>0</v>
      </c>
      <c r="AG42" s="70">
        <f t="shared" si="13"/>
        <v>0</v>
      </c>
      <c r="AH42" s="70">
        <f t="shared" si="13"/>
        <v>0</v>
      </c>
      <c r="AI42" s="70">
        <f t="shared" si="13"/>
        <v>0</v>
      </c>
      <c r="AJ42" s="70">
        <f t="shared" si="13"/>
        <v>0</v>
      </c>
      <c r="AK42" s="70">
        <f t="shared" si="13"/>
        <v>0</v>
      </c>
      <c r="AL42" s="70">
        <f t="shared" si="13"/>
        <v>0</v>
      </c>
      <c r="AM42" s="70">
        <f t="shared" si="13"/>
        <v>0</v>
      </c>
      <c r="AN42" s="70">
        <f t="shared" si="13"/>
        <v>0</v>
      </c>
      <c r="AO42" s="70">
        <f t="shared" si="13"/>
        <v>0</v>
      </c>
      <c r="AP42" s="70">
        <f t="shared" si="13"/>
        <v>0</v>
      </c>
      <c r="AQ42" s="70">
        <f t="shared" si="13"/>
        <v>0</v>
      </c>
      <c r="AR42" s="70">
        <f t="shared" si="13"/>
        <v>0</v>
      </c>
      <c r="AS42" s="70">
        <f t="shared" si="13"/>
        <v>0</v>
      </c>
      <c r="AT42" s="70">
        <f t="shared" si="13"/>
        <v>0</v>
      </c>
      <c r="AU42" s="70">
        <f t="shared" si="13"/>
        <v>0</v>
      </c>
      <c r="AV42" s="70">
        <f t="shared" si="13"/>
        <v>0</v>
      </c>
      <c r="AW42" s="70">
        <f t="shared" si="13"/>
        <v>0</v>
      </c>
      <c r="AX42" s="70">
        <f t="shared" si="13"/>
        <v>0</v>
      </c>
      <c r="AY42" s="70">
        <f t="shared" si="13"/>
        <v>0</v>
      </c>
      <c r="AZ42" s="70">
        <f t="shared" si="13"/>
        <v>0</v>
      </c>
      <c r="BA42" s="70">
        <f t="shared" si="13"/>
        <v>0</v>
      </c>
      <c r="BB42" s="70">
        <f t="shared" si="13"/>
        <v>0</v>
      </c>
      <c r="BC42" s="70">
        <f t="shared" si="13"/>
        <v>0</v>
      </c>
      <c r="BD42" s="70">
        <f t="shared" si="13"/>
        <v>0</v>
      </c>
      <c r="BE42" s="70">
        <f t="shared" si="13"/>
        <v>0</v>
      </c>
      <c r="BF42" s="70">
        <f t="shared" si="13"/>
        <v>0</v>
      </c>
      <c r="BG42" s="70">
        <f t="shared" si="13"/>
        <v>0</v>
      </c>
      <c r="BH42" s="70">
        <f t="shared" si="13"/>
        <v>0</v>
      </c>
      <c r="BI42" s="70">
        <f t="shared" si="13"/>
        <v>0</v>
      </c>
      <c r="BJ42" s="70">
        <f t="shared" si="13"/>
        <v>0</v>
      </c>
      <c r="BK42" s="70">
        <f t="shared" si="13"/>
        <v>0</v>
      </c>
      <c r="BL42" s="70">
        <f t="shared" si="13"/>
        <v>0</v>
      </c>
      <c r="BM42" s="70">
        <f t="shared" si="13"/>
        <v>0</v>
      </c>
      <c r="BN42" s="70">
        <f t="shared" si="13"/>
        <v>0</v>
      </c>
      <c r="BO42" s="70">
        <f t="shared" si="13"/>
        <v>0</v>
      </c>
      <c r="BP42" s="70">
        <f t="shared" si="13"/>
        <v>0</v>
      </c>
      <c r="BQ42" s="70">
        <f t="shared" si="13"/>
        <v>0</v>
      </c>
      <c r="BR42" s="70">
        <f t="shared" si="10"/>
        <v>0</v>
      </c>
      <c r="BS42" s="70">
        <f t="shared" si="10"/>
        <v>0</v>
      </c>
      <c r="BT42" s="70">
        <f t="shared" si="10"/>
        <v>0</v>
      </c>
      <c r="BU42" s="70">
        <f t="shared" si="10"/>
        <v>0</v>
      </c>
      <c r="BV42" s="70">
        <f t="shared" si="10"/>
        <v>0</v>
      </c>
      <c r="BW42" s="70">
        <f t="shared" si="10"/>
        <v>0</v>
      </c>
      <c r="BX42" s="70">
        <f t="shared" si="10"/>
        <v>0</v>
      </c>
      <c r="BY42" s="70">
        <f t="shared" si="10"/>
        <v>0</v>
      </c>
      <c r="BZ42" s="71">
        <f t="shared" si="11"/>
        <v>0</v>
      </c>
    </row>
    <row r="43" spans="1:79" x14ac:dyDescent="0.3">
      <c r="A43" s="68">
        <f t="shared" si="8"/>
        <v>0</v>
      </c>
      <c r="B43" s="68" t="str">
        <f t="shared" si="8"/>
        <v/>
      </c>
      <c r="C43" s="79">
        <f t="shared" si="8"/>
        <v>0</v>
      </c>
      <c r="D43" s="57">
        <f t="shared" si="8"/>
        <v>0</v>
      </c>
      <c r="E43" s="58">
        <f t="shared" si="8"/>
        <v>0</v>
      </c>
      <c r="F43" s="70">
        <f t="shared" si="13"/>
        <v>0</v>
      </c>
      <c r="G43" s="70">
        <f t="shared" si="13"/>
        <v>0</v>
      </c>
      <c r="H43" s="70">
        <f t="shared" si="13"/>
        <v>0</v>
      </c>
      <c r="I43" s="70">
        <f t="shared" si="13"/>
        <v>0</v>
      </c>
      <c r="J43" s="70">
        <f t="shared" si="13"/>
        <v>0</v>
      </c>
      <c r="K43" s="70">
        <f t="shared" si="13"/>
        <v>0</v>
      </c>
      <c r="L43" s="70">
        <f t="shared" si="13"/>
        <v>0</v>
      </c>
      <c r="M43" s="70">
        <f t="shared" si="13"/>
        <v>0</v>
      </c>
      <c r="N43" s="70">
        <f t="shared" si="13"/>
        <v>0</v>
      </c>
      <c r="O43" s="70">
        <f t="shared" si="13"/>
        <v>0</v>
      </c>
      <c r="P43" s="70">
        <f t="shared" si="13"/>
        <v>0</v>
      </c>
      <c r="Q43" s="70">
        <f t="shared" si="13"/>
        <v>0</v>
      </c>
      <c r="R43" s="70">
        <f t="shared" si="13"/>
        <v>0</v>
      </c>
      <c r="S43" s="70">
        <f t="shared" si="13"/>
        <v>0</v>
      </c>
      <c r="T43" s="70">
        <f t="shared" si="13"/>
        <v>0</v>
      </c>
      <c r="U43" s="70">
        <f t="shared" si="13"/>
        <v>0</v>
      </c>
      <c r="V43" s="70">
        <f t="shared" si="13"/>
        <v>0</v>
      </c>
      <c r="W43" s="70">
        <f t="shared" si="13"/>
        <v>0</v>
      </c>
      <c r="X43" s="70">
        <f t="shared" si="13"/>
        <v>0</v>
      </c>
      <c r="Y43" s="70">
        <f t="shared" si="13"/>
        <v>0</v>
      </c>
      <c r="Z43" s="70">
        <f t="shared" si="13"/>
        <v>0</v>
      </c>
      <c r="AA43" s="70">
        <f t="shared" si="13"/>
        <v>0</v>
      </c>
      <c r="AB43" s="70">
        <f t="shared" si="13"/>
        <v>0</v>
      </c>
      <c r="AC43" s="70">
        <f t="shared" si="13"/>
        <v>0</v>
      </c>
      <c r="AD43" s="70">
        <f t="shared" si="13"/>
        <v>0</v>
      </c>
      <c r="AE43" s="70">
        <f t="shared" si="13"/>
        <v>0</v>
      </c>
      <c r="AF43" s="70">
        <f t="shared" si="13"/>
        <v>0</v>
      </c>
      <c r="AG43" s="70">
        <f t="shared" si="13"/>
        <v>0</v>
      </c>
      <c r="AH43" s="70">
        <f t="shared" si="13"/>
        <v>0</v>
      </c>
      <c r="AI43" s="70">
        <f t="shared" si="13"/>
        <v>0</v>
      </c>
      <c r="AJ43" s="70">
        <f t="shared" si="13"/>
        <v>0</v>
      </c>
      <c r="AK43" s="70">
        <f t="shared" si="13"/>
        <v>0</v>
      </c>
      <c r="AL43" s="70">
        <f t="shared" si="13"/>
        <v>0</v>
      </c>
      <c r="AM43" s="70">
        <f t="shared" si="13"/>
        <v>0</v>
      </c>
      <c r="AN43" s="70">
        <f t="shared" si="13"/>
        <v>0</v>
      </c>
      <c r="AO43" s="70">
        <f t="shared" si="13"/>
        <v>0</v>
      </c>
      <c r="AP43" s="70">
        <f t="shared" si="13"/>
        <v>0</v>
      </c>
      <c r="AQ43" s="70">
        <f t="shared" si="13"/>
        <v>0</v>
      </c>
      <c r="AR43" s="70">
        <f t="shared" si="13"/>
        <v>0</v>
      </c>
      <c r="AS43" s="70">
        <f t="shared" si="13"/>
        <v>0</v>
      </c>
      <c r="AT43" s="70">
        <f t="shared" si="13"/>
        <v>0</v>
      </c>
      <c r="AU43" s="70">
        <f t="shared" si="13"/>
        <v>0</v>
      </c>
      <c r="AV43" s="70">
        <f t="shared" si="13"/>
        <v>0</v>
      </c>
      <c r="AW43" s="70">
        <f t="shared" si="13"/>
        <v>0</v>
      </c>
      <c r="AX43" s="70">
        <f t="shared" si="13"/>
        <v>0</v>
      </c>
      <c r="AY43" s="70">
        <f t="shared" si="13"/>
        <v>0</v>
      </c>
      <c r="AZ43" s="70">
        <f t="shared" si="13"/>
        <v>0</v>
      </c>
      <c r="BA43" s="70">
        <f t="shared" si="13"/>
        <v>0</v>
      </c>
      <c r="BB43" s="70">
        <f t="shared" si="13"/>
        <v>0</v>
      </c>
      <c r="BC43" s="70">
        <f t="shared" si="13"/>
        <v>0</v>
      </c>
      <c r="BD43" s="70">
        <f t="shared" si="13"/>
        <v>0</v>
      </c>
      <c r="BE43" s="70">
        <f t="shared" si="13"/>
        <v>0</v>
      </c>
      <c r="BF43" s="70">
        <f t="shared" si="13"/>
        <v>0</v>
      </c>
      <c r="BG43" s="70">
        <f t="shared" si="13"/>
        <v>0</v>
      </c>
      <c r="BH43" s="70">
        <f t="shared" si="13"/>
        <v>0</v>
      </c>
      <c r="BI43" s="70">
        <f t="shared" si="13"/>
        <v>0</v>
      </c>
      <c r="BJ43" s="70">
        <f t="shared" si="13"/>
        <v>0</v>
      </c>
      <c r="BK43" s="70">
        <f t="shared" si="13"/>
        <v>0</v>
      </c>
      <c r="BL43" s="70">
        <f t="shared" si="13"/>
        <v>0</v>
      </c>
      <c r="BM43" s="70">
        <f t="shared" si="13"/>
        <v>0</v>
      </c>
      <c r="BN43" s="70">
        <f t="shared" si="13"/>
        <v>0</v>
      </c>
      <c r="BO43" s="70">
        <f t="shared" si="13"/>
        <v>0</v>
      </c>
      <c r="BP43" s="70">
        <f t="shared" si="13"/>
        <v>0</v>
      </c>
      <c r="BQ43" s="70">
        <f t="shared" ref="BQ43" si="14">ROUND(BQ11*BQ$35,0)</f>
        <v>0</v>
      </c>
      <c r="BR43" s="70">
        <f t="shared" si="10"/>
        <v>0</v>
      </c>
      <c r="BS43" s="70">
        <f t="shared" si="10"/>
        <v>0</v>
      </c>
      <c r="BT43" s="70">
        <f t="shared" si="10"/>
        <v>0</v>
      </c>
      <c r="BU43" s="70">
        <f t="shared" si="10"/>
        <v>0</v>
      </c>
      <c r="BV43" s="70">
        <f t="shared" si="10"/>
        <v>0</v>
      </c>
      <c r="BW43" s="70">
        <f t="shared" si="10"/>
        <v>0</v>
      </c>
      <c r="BX43" s="70">
        <f t="shared" si="10"/>
        <v>0</v>
      </c>
      <c r="BY43" s="70">
        <f t="shared" si="10"/>
        <v>0</v>
      </c>
      <c r="BZ43" s="71">
        <f t="shared" si="11"/>
        <v>0</v>
      </c>
    </row>
    <row r="44" spans="1:79" x14ac:dyDescent="0.3">
      <c r="A44" s="68">
        <f t="shared" si="8"/>
        <v>0</v>
      </c>
      <c r="B44" s="68" t="str">
        <f t="shared" si="8"/>
        <v/>
      </c>
      <c r="C44" s="79">
        <f t="shared" si="8"/>
        <v>0</v>
      </c>
      <c r="D44" s="57">
        <f t="shared" si="8"/>
        <v>0</v>
      </c>
      <c r="E44" s="58">
        <f t="shared" si="8"/>
        <v>0</v>
      </c>
      <c r="F44" s="70">
        <f t="shared" ref="F44:BQ47" si="15">ROUND(F12*F$35,0)</f>
        <v>0</v>
      </c>
      <c r="G44" s="70">
        <f t="shared" si="15"/>
        <v>0</v>
      </c>
      <c r="H44" s="70">
        <f t="shared" si="15"/>
        <v>0</v>
      </c>
      <c r="I44" s="70">
        <f t="shared" si="15"/>
        <v>0</v>
      </c>
      <c r="J44" s="70">
        <f t="shared" si="15"/>
        <v>0</v>
      </c>
      <c r="K44" s="70">
        <f t="shared" si="15"/>
        <v>0</v>
      </c>
      <c r="L44" s="70">
        <f t="shared" si="15"/>
        <v>0</v>
      </c>
      <c r="M44" s="70">
        <f t="shared" si="15"/>
        <v>0</v>
      </c>
      <c r="N44" s="70">
        <f t="shared" si="15"/>
        <v>0</v>
      </c>
      <c r="O44" s="70">
        <f t="shared" si="15"/>
        <v>0</v>
      </c>
      <c r="P44" s="70">
        <f t="shared" si="15"/>
        <v>0</v>
      </c>
      <c r="Q44" s="70">
        <f t="shared" si="15"/>
        <v>0</v>
      </c>
      <c r="R44" s="70">
        <f t="shared" si="15"/>
        <v>0</v>
      </c>
      <c r="S44" s="70">
        <f t="shared" si="15"/>
        <v>0</v>
      </c>
      <c r="T44" s="70">
        <f t="shared" si="15"/>
        <v>0</v>
      </c>
      <c r="U44" s="70">
        <f t="shared" si="15"/>
        <v>0</v>
      </c>
      <c r="V44" s="70">
        <f t="shared" si="15"/>
        <v>0</v>
      </c>
      <c r="W44" s="70">
        <f t="shared" si="15"/>
        <v>0</v>
      </c>
      <c r="X44" s="70">
        <f t="shared" si="15"/>
        <v>0</v>
      </c>
      <c r="Y44" s="70">
        <f t="shared" si="15"/>
        <v>0</v>
      </c>
      <c r="Z44" s="70">
        <f t="shared" si="15"/>
        <v>0</v>
      </c>
      <c r="AA44" s="70">
        <f t="shared" si="15"/>
        <v>0</v>
      </c>
      <c r="AB44" s="70">
        <f t="shared" si="15"/>
        <v>0</v>
      </c>
      <c r="AC44" s="70">
        <f t="shared" si="15"/>
        <v>0</v>
      </c>
      <c r="AD44" s="70">
        <f t="shared" si="15"/>
        <v>0</v>
      </c>
      <c r="AE44" s="70">
        <f t="shared" si="15"/>
        <v>0</v>
      </c>
      <c r="AF44" s="70">
        <f t="shared" si="15"/>
        <v>0</v>
      </c>
      <c r="AG44" s="70">
        <f t="shared" si="15"/>
        <v>0</v>
      </c>
      <c r="AH44" s="70">
        <f t="shared" si="15"/>
        <v>0</v>
      </c>
      <c r="AI44" s="70">
        <f t="shared" si="15"/>
        <v>0</v>
      </c>
      <c r="AJ44" s="70">
        <f t="shared" si="15"/>
        <v>0</v>
      </c>
      <c r="AK44" s="70">
        <f t="shared" si="15"/>
        <v>0</v>
      </c>
      <c r="AL44" s="70">
        <f t="shared" si="15"/>
        <v>0</v>
      </c>
      <c r="AM44" s="70">
        <f t="shared" si="15"/>
        <v>0</v>
      </c>
      <c r="AN44" s="70">
        <f t="shared" si="15"/>
        <v>0</v>
      </c>
      <c r="AO44" s="70">
        <f t="shared" si="15"/>
        <v>0</v>
      </c>
      <c r="AP44" s="70">
        <f t="shared" si="15"/>
        <v>0</v>
      </c>
      <c r="AQ44" s="70">
        <f t="shared" si="15"/>
        <v>0</v>
      </c>
      <c r="AR44" s="70">
        <f t="shared" si="15"/>
        <v>0</v>
      </c>
      <c r="AS44" s="70">
        <f t="shared" si="15"/>
        <v>0</v>
      </c>
      <c r="AT44" s="70">
        <f t="shared" si="15"/>
        <v>0</v>
      </c>
      <c r="AU44" s="70">
        <f t="shared" si="15"/>
        <v>0</v>
      </c>
      <c r="AV44" s="70">
        <f t="shared" si="15"/>
        <v>0</v>
      </c>
      <c r="AW44" s="70">
        <f t="shared" si="15"/>
        <v>0</v>
      </c>
      <c r="AX44" s="70">
        <f t="shared" si="15"/>
        <v>0</v>
      </c>
      <c r="AY44" s="70">
        <f t="shared" si="15"/>
        <v>0</v>
      </c>
      <c r="AZ44" s="70">
        <f t="shared" si="15"/>
        <v>0</v>
      </c>
      <c r="BA44" s="70">
        <f t="shared" si="15"/>
        <v>0</v>
      </c>
      <c r="BB44" s="70">
        <f t="shared" si="15"/>
        <v>0</v>
      </c>
      <c r="BC44" s="70">
        <f t="shared" si="15"/>
        <v>0</v>
      </c>
      <c r="BD44" s="70">
        <f t="shared" si="15"/>
        <v>0</v>
      </c>
      <c r="BE44" s="70">
        <f t="shared" si="15"/>
        <v>0</v>
      </c>
      <c r="BF44" s="70">
        <f t="shared" si="15"/>
        <v>0</v>
      </c>
      <c r="BG44" s="70">
        <f t="shared" si="15"/>
        <v>0</v>
      </c>
      <c r="BH44" s="70">
        <f t="shared" si="15"/>
        <v>0</v>
      </c>
      <c r="BI44" s="70">
        <f t="shared" si="15"/>
        <v>0</v>
      </c>
      <c r="BJ44" s="70">
        <f t="shared" si="15"/>
        <v>0</v>
      </c>
      <c r="BK44" s="70">
        <f t="shared" si="15"/>
        <v>0</v>
      </c>
      <c r="BL44" s="70">
        <f t="shared" si="15"/>
        <v>0</v>
      </c>
      <c r="BM44" s="70">
        <f t="shared" si="15"/>
        <v>0</v>
      </c>
      <c r="BN44" s="70">
        <f t="shared" si="15"/>
        <v>0</v>
      </c>
      <c r="BO44" s="70">
        <f t="shared" si="15"/>
        <v>0</v>
      </c>
      <c r="BP44" s="70">
        <f t="shared" si="15"/>
        <v>0</v>
      </c>
      <c r="BQ44" s="70">
        <f t="shared" si="15"/>
        <v>0</v>
      </c>
      <c r="BR44" s="70">
        <f t="shared" si="10"/>
        <v>0</v>
      </c>
      <c r="BS44" s="70">
        <f t="shared" si="10"/>
        <v>0</v>
      </c>
      <c r="BT44" s="70">
        <f t="shared" si="10"/>
        <v>0</v>
      </c>
      <c r="BU44" s="70">
        <f t="shared" si="10"/>
        <v>0</v>
      </c>
      <c r="BV44" s="70">
        <f t="shared" si="10"/>
        <v>0</v>
      </c>
      <c r="BW44" s="70">
        <f t="shared" si="10"/>
        <v>0</v>
      </c>
      <c r="BX44" s="70">
        <f t="shared" si="10"/>
        <v>0</v>
      </c>
      <c r="BY44" s="70">
        <f t="shared" si="10"/>
        <v>0</v>
      </c>
      <c r="BZ44" s="71">
        <f t="shared" si="11"/>
        <v>0</v>
      </c>
    </row>
    <row r="45" spans="1:79" x14ac:dyDescent="0.3">
      <c r="A45" s="68">
        <f t="shared" si="8"/>
        <v>0</v>
      </c>
      <c r="B45" s="68" t="str">
        <f t="shared" si="8"/>
        <v/>
      </c>
      <c r="C45" s="79">
        <f t="shared" si="8"/>
        <v>0</v>
      </c>
      <c r="D45" s="57">
        <f t="shared" si="8"/>
        <v>0</v>
      </c>
      <c r="E45" s="58">
        <f t="shared" si="8"/>
        <v>0</v>
      </c>
      <c r="F45" s="70">
        <f t="shared" si="15"/>
        <v>0</v>
      </c>
      <c r="G45" s="70">
        <f t="shared" si="15"/>
        <v>0</v>
      </c>
      <c r="H45" s="70">
        <f t="shared" si="15"/>
        <v>0</v>
      </c>
      <c r="I45" s="70">
        <f t="shared" si="15"/>
        <v>0</v>
      </c>
      <c r="J45" s="70">
        <f t="shared" si="15"/>
        <v>0</v>
      </c>
      <c r="K45" s="70">
        <f t="shared" si="15"/>
        <v>0</v>
      </c>
      <c r="L45" s="70">
        <f t="shared" si="15"/>
        <v>0</v>
      </c>
      <c r="M45" s="70">
        <f t="shared" si="15"/>
        <v>0</v>
      </c>
      <c r="N45" s="70">
        <f t="shared" si="15"/>
        <v>0</v>
      </c>
      <c r="O45" s="70">
        <f t="shared" si="15"/>
        <v>0</v>
      </c>
      <c r="P45" s="70">
        <f t="shared" si="15"/>
        <v>0</v>
      </c>
      <c r="Q45" s="70">
        <f t="shared" si="15"/>
        <v>0</v>
      </c>
      <c r="R45" s="70">
        <f t="shared" si="15"/>
        <v>0</v>
      </c>
      <c r="S45" s="70">
        <f t="shared" si="15"/>
        <v>0</v>
      </c>
      <c r="T45" s="70">
        <f t="shared" si="15"/>
        <v>0</v>
      </c>
      <c r="U45" s="70">
        <f t="shared" si="15"/>
        <v>0</v>
      </c>
      <c r="V45" s="70">
        <f t="shared" si="15"/>
        <v>0</v>
      </c>
      <c r="W45" s="70">
        <f t="shared" si="15"/>
        <v>0</v>
      </c>
      <c r="X45" s="70">
        <f t="shared" si="15"/>
        <v>0</v>
      </c>
      <c r="Y45" s="70">
        <f t="shared" si="15"/>
        <v>0</v>
      </c>
      <c r="Z45" s="70">
        <f t="shared" si="15"/>
        <v>0</v>
      </c>
      <c r="AA45" s="70">
        <f t="shared" si="15"/>
        <v>0</v>
      </c>
      <c r="AB45" s="70">
        <f t="shared" si="15"/>
        <v>0</v>
      </c>
      <c r="AC45" s="70">
        <f t="shared" si="15"/>
        <v>0</v>
      </c>
      <c r="AD45" s="70">
        <f t="shared" si="15"/>
        <v>0</v>
      </c>
      <c r="AE45" s="70">
        <f t="shared" si="15"/>
        <v>0</v>
      </c>
      <c r="AF45" s="70">
        <f t="shared" si="15"/>
        <v>0</v>
      </c>
      <c r="AG45" s="70">
        <f t="shared" si="15"/>
        <v>0</v>
      </c>
      <c r="AH45" s="70">
        <f t="shared" si="15"/>
        <v>0</v>
      </c>
      <c r="AI45" s="70">
        <f t="shared" si="15"/>
        <v>0</v>
      </c>
      <c r="AJ45" s="70">
        <f t="shared" si="15"/>
        <v>0</v>
      </c>
      <c r="AK45" s="70">
        <f t="shared" si="15"/>
        <v>0</v>
      </c>
      <c r="AL45" s="70">
        <f t="shared" si="15"/>
        <v>0</v>
      </c>
      <c r="AM45" s="70">
        <f t="shared" si="15"/>
        <v>0</v>
      </c>
      <c r="AN45" s="70">
        <f t="shared" si="15"/>
        <v>0</v>
      </c>
      <c r="AO45" s="70">
        <f t="shared" si="15"/>
        <v>0</v>
      </c>
      <c r="AP45" s="70">
        <f t="shared" si="15"/>
        <v>0</v>
      </c>
      <c r="AQ45" s="70">
        <f t="shared" si="15"/>
        <v>0</v>
      </c>
      <c r="AR45" s="70">
        <f t="shared" si="15"/>
        <v>0</v>
      </c>
      <c r="AS45" s="70">
        <f t="shared" si="15"/>
        <v>0</v>
      </c>
      <c r="AT45" s="70">
        <f t="shared" si="15"/>
        <v>0</v>
      </c>
      <c r="AU45" s="70">
        <f t="shared" si="15"/>
        <v>0</v>
      </c>
      <c r="AV45" s="70">
        <f t="shared" si="15"/>
        <v>0</v>
      </c>
      <c r="AW45" s="70">
        <f t="shared" si="15"/>
        <v>0</v>
      </c>
      <c r="AX45" s="70">
        <f t="shared" si="15"/>
        <v>0</v>
      </c>
      <c r="AY45" s="70">
        <f t="shared" si="15"/>
        <v>0</v>
      </c>
      <c r="AZ45" s="70">
        <f t="shared" si="15"/>
        <v>0</v>
      </c>
      <c r="BA45" s="70">
        <f t="shared" si="15"/>
        <v>0</v>
      </c>
      <c r="BB45" s="70">
        <f t="shared" si="15"/>
        <v>0</v>
      </c>
      <c r="BC45" s="70">
        <f t="shared" si="15"/>
        <v>0</v>
      </c>
      <c r="BD45" s="70">
        <f t="shared" si="15"/>
        <v>0</v>
      </c>
      <c r="BE45" s="70">
        <f t="shared" si="15"/>
        <v>0</v>
      </c>
      <c r="BF45" s="70">
        <f t="shared" si="15"/>
        <v>0</v>
      </c>
      <c r="BG45" s="70">
        <f t="shared" si="15"/>
        <v>0</v>
      </c>
      <c r="BH45" s="70">
        <f t="shared" si="15"/>
        <v>0</v>
      </c>
      <c r="BI45" s="70">
        <f t="shared" si="15"/>
        <v>0</v>
      </c>
      <c r="BJ45" s="70">
        <f t="shared" si="15"/>
        <v>0</v>
      </c>
      <c r="BK45" s="70">
        <f t="shared" si="15"/>
        <v>0</v>
      </c>
      <c r="BL45" s="70">
        <f t="shared" si="15"/>
        <v>0</v>
      </c>
      <c r="BM45" s="70">
        <f t="shared" si="15"/>
        <v>0</v>
      </c>
      <c r="BN45" s="70">
        <f t="shared" si="15"/>
        <v>0</v>
      </c>
      <c r="BO45" s="70">
        <f t="shared" si="15"/>
        <v>0</v>
      </c>
      <c r="BP45" s="70">
        <f t="shared" si="15"/>
        <v>0</v>
      </c>
      <c r="BQ45" s="70">
        <f t="shared" si="15"/>
        <v>0</v>
      </c>
      <c r="BR45" s="70">
        <f t="shared" si="10"/>
        <v>0</v>
      </c>
      <c r="BS45" s="70">
        <f t="shared" si="10"/>
        <v>0</v>
      </c>
      <c r="BT45" s="70">
        <f t="shared" si="10"/>
        <v>0</v>
      </c>
      <c r="BU45" s="70">
        <f t="shared" si="10"/>
        <v>0</v>
      </c>
      <c r="BV45" s="70">
        <f t="shared" si="10"/>
        <v>0</v>
      </c>
      <c r="BW45" s="70">
        <f t="shared" si="10"/>
        <v>0</v>
      </c>
      <c r="BX45" s="70">
        <f t="shared" si="10"/>
        <v>0</v>
      </c>
      <c r="BY45" s="70">
        <f t="shared" si="10"/>
        <v>0</v>
      </c>
      <c r="BZ45" s="71">
        <f t="shared" si="11"/>
        <v>0</v>
      </c>
    </row>
    <row r="46" spans="1:79" x14ac:dyDescent="0.3">
      <c r="A46" s="68">
        <f t="shared" si="8"/>
        <v>0</v>
      </c>
      <c r="B46" s="68" t="str">
        <f t="shared" si="8"/>
        <v/>
      </c>
      <c r="C46" s="79">
        <f t="shared" si="8"/>
        <v>0</v>
      </c>
      <c r="D46" s="57">
        <f t="shared" si="8"/>
        <v>0</v>
      </c>
      <c r="E46" s="58">
        <f t="shared" si="8"/>
        <v>0</v>
      </c>
      <c r="F46" s="70">
        <f t="shared" si="15"/>
        <v>0</v>
      </c>
      <c r="G46" s="70">
        <f t="shared" si="15"/>
        <v>0</v>
      </c>
      <c r="H46" s="70">
        <f t="shared" si="15"/>
        <v>0</v>
      </c>
      <c r="I46" s="70">
        <f t="shared" si="15"/>
        <v>0</v>
      </c>
      <c r="J46" s="70">
        <f t="shared" si="15"/>
        <v>0</v>
      </c>
      <c r="K46" s="70">
        <f t="shared" si="15"/>
        <v>0</v>
      </c>
      <c r="L46" s="70">
        <f t="shared" si="15"/>
        <v>0</v>
      </c>
      <c r="M46" s="70">
        <f t="shared" si="15"/>
        <v>0</v>
      </c>
      <c r="N46" s="70">
        <f t="shared" si="15"/>
        <v>0</v>
      </c>
      <c r="O46" s="70">
        <f t="shared" si="15"/>
        <v>0</v>
      </c>
      <c r="P46" s="70">
        <f t="shared" si="15"/>
        <v>0</v>
      </c>
      <c r="Q46" s="70">
        <f t="shared" si="15"/>
        <v>0</v>
      </c>
      <c r="R46" s="70">
        <f t="shared" si="15"/>
        <v>0</v>
      </c>
      <c r="S46" s="70">
        <f t="shared" si="15"/>
        <v>0</v>
      </c>
      <c r="T46" s="70">
        <f t="shared" si="15"/>
        <v>0</v>
      </c>
      <c r="U46" s="70">
        <f t="shared" si="15"/>
        <v>0</v>
      </c>
      <c r="V46" s="70">
        <f t="shared" si="15"/>
        <v>0</v>
      </c>
      <c r="W46" s="70">
        <f t="shared" si="15"/>
        <v>0</v>
      </c>
      <c r="X46" s="70">
        <f t="shared" si="15"/>
        <v>0</v>
      </c>
      <c r="Y46" s="70">
        <f t="shared" si="15"/>
        <v>0</v>
      </c>
      <c r="Z46" s="70">
        <f t="shared" si="15"/>
        <v>0</v>
      </c>
      <c r="AA46" s="70">
        <f t="shared" si="15"/>
        <v>0</v>
      </c>
      <c r="AB46" s="70">
        <f t="shared" si="15"/>
        <v>0</v>
      </c>
      <c r="AC46" s="70">
        <f t="shared" si="15"/>
        <v>0</v>
      </c>
      <c r="AD46" s="70">
        <f t="shared" si="15"/>
        <v>0</v>
      </c>
      <c r="AE46" s="70">
        <f t="shared" si="15"/>
        <v>0</v>
      </c>
      <c r="AF46" s="70">
        <f t="shared" si="15"/>
        <v>0</v>
      </c>
      <c r="AG46" s="70">
        <f t="shared" si="15"/>
        <v>0</v>
      </c>
      <c r="AH46" s="70">
        <f t="shared" si="15"/>
        <v>0</v>
      </c>
      <c r="AI46" s="70">
        <f t="shared" si="15"/>
        <v>0</v>
      </c>
      <c r="AJ46" s="70">
        <f t="shared" si="15"/>
        <v>0</v>
      </c>
      <c r="AK46" s="70">
        <f t="shared" si="15"/>
        <v>0</v>
      </c>
      <c r="AL46" s="70">
        <f t="shared" si="15"/>
        <v>0</v>
      </c>
      <c r="AM46" s="70">
        <f t="shared" si="15"/>
        <v>0</v>
      </c>
      <c r="AN46" s="70">
        <f t="shared" si="15"/>
        <v>0</v>
      </c>
      <c r="AO46" s="70">
        <f t="shared" si="15"/>
        <v>0</v>
      </c>
      <c r="AP46" s="70">
        <f t="shared" si="15"/>
        <v>0</v>
      </c>
      <c r="AQ46" s="70">
        <f t="shared" si="15"/>
        <v>0</v>
      </c>
      <c r="AR46" s="70">
        <f t="shared" si="15"/>
        <v>0</v>
      </c>
      <c r="AS46" s="70">
        <f t="shared" si="15"/>
        <v>0</v>
      </c>
      <c r="AT46" s="70">
        <f t="shared" si="15"/>
        <v>0</v>
      </c>
      <c r="AU46" s="70">
        <f t="shared" si="15"/>
        <v>0</v>
      </c>
      <c r="AV46" s="70">
        <f t="shared" si="15"/>
        <v>0</v>
      </c>
      <c r="AW46" s="70">
        <f t="shared" si="15"/>
        <v>0</v>
      </c>
      <c r="AX46" s="70">
        <f t="shared" si="15"/>
        <v>0</v>
      </c>
      <c r="AY46" s="70">
        <f t="shared" si="15"/>
        <v>0</v>
      </c>
      <c r="AZ46" s="70">
        <f t="shared" si="15"/>
        <v>0</v>
      </c>
      <c r="BA46" s="70">
        <f t="shared" si="15"/>
        <v>0</v>
      </c>
      <c r="BB46" s="70">
        <f t="shared" si="15"/>
        <v>0</v>
      </c>
      <c r="BC46" s="70">
        <f t="shared" si="15"/>
        <v>0</v>
      </c>
      <c r="BD46" s="70">
        <f t="shared" si="15"/>
        <v>0</v>
      </c>
      <c r="BE46" s="70">
        <f t="shared" si="15"/>
        <v>0</v>
      </c>
      <c r="BF46" s="70">
        <f t="shared" si="15"/>
        <v>0</v>
      </c>
      <c r="BG46" s="70">
        <f t="shared" si="15"/>
        <v>0</v>
      </c>
      <c r="BH46" s="70">
        <f t="shared" si="15"/>
        <v>0</v>
      </c>
      <c r="BI46" s="70">
        <f t="shared" si="15"/>
        <v>0</v>
      </c>
      <c r="BJ46" s="70">
        <f t="shared" si="15"/>
        <v>0</v>
      </c>
      <c r="BK46" s="70">
        <f t="shared" si="15"/>
        <v>0</v>
      </c>
      <c r="BL46" s="70">
        <f t="shared" si="15"/>
        <v>0</v>
      </c>
      <c r="BM46" s="70">
        <f t="shared" si="15"/>
        <v>0</v>
      </c>
      <c r="BN46" s="70">
        <f t="shared" si="15"/>
        <v>0</v>
      </c>
      <c r="BO46" s="70">
        <f t="shared" si="15"/>
        <v>0</v>
      </c>
      <c r="BP46" s="70">
        <f t="shared" si="15"/>
        <v>0</v>
      </c>
      <c r="BQ46" s="70">
        <f t="shared" si="15"/>
        <v>0</v>
      </c>
      <c r="BR46" s="70">
        <f t="shared" si="10"/>
        <v>0</v>
      </c>
      <c r="BS46" s="70">
        <f t="shared" si="10"/>
        <v>0</v>
      </c>
      <c r="BT46" s="70">
        <f t="shared" si="10"/>
        <v>0</v>
      </c>
      <c r="BU46" s="70">
        <f t="shared" si="10"/>
        <v>0</v>
      </c>
      <c r="BV46" s="70">
        <f t="shared" si="10"/>
        <v>0</v>
      </c>
      <c r="BW46" s="70">
        <f t="shared" si="10"/>
        <v>0</v>
      </c>
      <c r="BX46" s="70">
        <f t="shared" si="10"/>
        <v>0</v>
      </c>
      <c r="BY46" s="70">
        <f t="shared" si="10"/>
        <v>0</v>
      </c>
      <c r="BZ46" s="71">
        <f t="shared" si="11"/>
        <v>0</v>
      </c>
    </row>
    <row r="47" spans="1:79" x14ac:dyDescent="0.3">
      <c r="A47" s="68">
        <f t="shared" si="8"/>
        <v>0</v>
      </c>
      <c r="B47" s="68" t="str">
        <f t="shared" si="8"/>
        <v/>
      </c>
      <c r="C47" s="79">
        <f t="shared" si="8"/>
        <v>0</v>
      </c>
      <c r="D47" s="57">
        <f t="shared" si="8"/>
        <v>0</v>
      </c>
      <c r="E47" s="58">
        <f t="shared" si="8"/>
        <v>0</v>
      </c>
      <c r="F47" s="70">
        <f t="shared" si="15"/>
        <v>0</v>
      </c>
      <c r="G47" s="70">
        <f t="shared" si="15"/>
        <v>0</v>
      </c>
      <c r="H47" s="70">
        <f t="shared" si="15"/>
        <v>0</v>
      </c>
      <c r="I47" s="70">
        <f t="shared" si="15"/>
        <v>0</v>
      </c>
      <c r="J47" s="70">
        <f t="shared" si="15"/>
        <v>0</v>
      </c>
      <c r="K47" s="70">
        <f t="shared" si="15"/>
        <v>0</v>
      </c>
      <c r="L47" s="70">
        <f t="shared" si="15"/>
        <v>0</v>
      </c>
      <c r="M47" s="70">
        <f t="shared" si="15"/>
        <v>0</v>
      </c>
      <c r="N47" s="70">
        <f t="shared" si="15"/>
        <v>0</v>
      </c>
      <c r="O47" s="70">
        <f t="shared" si="15"/>
        <v>0</v>
      </c>
      <c r="P47" s="70">
        <f t="shared" si="15"/>
        <v>0</v>
      </c>
      <c r="Q47" s="70">
        <f t="shared" si="15"/>
        <v>0</v>
      </c>
      <c r="R47" s="70">
        <f t="shared" si="15"/>
        <v>0</v>
      </c>
      <c r="S47" s="70">
        <f t="shared" si="15"/>
        <v>0</v>
      </c>
      <c r="T47" s="70">
        <f t="shared" si="15"/>
        <v>0</v>
      </c>
      <c r="U47" s="70">
        <f t="shared" si="15"/>
        <v>0</v>
      </c>
      <c r="V47" s="70">
        <f t="shared" si="15"/>
        <v>0</v>
      </c>
      <c r="W47" s="70">
        <f t="shared" si="15"/>
        <v>0</v>
      </c>
      <c r="X47" s="70">
        <f t="shared" si="15"/>
        <v>0</v>
      </c>
      <c r="Y47" s="70">
        <f t="shared" si="15"/>
        <v>0</v>
      </c>
      <c r="Z47" s="70">
        <f t="shared" si="15"/>
        <v>0</v>
      </c>
      <c r="AA47" s="70">
        <f t="shared" si="15"/>
        <v>0</v>
      </c>
      <c r="AB47" s="70">
        <f t="shared" si="15"/>
        <v>0</v>
      </c>
      <c r="AC47" s="70">
        <f t="shared" si="15"/>
        <v>0</v>
      </c>
      <c r="AD47" s="70">
        <f t="shared" si="15"/>
        <v>0</v>
      </c>
      <c r="AE47" s="70">
        <f t="shared" si="15"/>
        <v>0</v>
      </c>
      <c r="AF47" s="70">
        <f t="shared" si="15"/>
        <v>0</v>
      </c>
      <c r="AG47" s="70">
        <f t="shared" si="15"/>
        <v>0</v>
      </c>
      <c r="AH47" s="70">
        <f t="shared" si="15"/>
        <v>0</v>
      </c>
      <c r="AI47" s="70">
        <f t="shared" si="15"/>
        <v>0</v>
      </c>
      <c r="AJ47" s="70">
        <f t="shared" si="15"/>
        <v>0</v>
      </c>
      <c r="AK47" s="70">
        <f t="shared" si="15"/>
        <v>0</v>
      </c>
      <c r="AL47" s="70">
        <f t="shared" si="15"/>
        <v>0</v>
      </c>
      <c r="AM47" s="70">
        <f t="shared" si="15"/>
        <v>0</v>
      </c>
      <c r="AN47" s="70">
        <f t="shared" si="15"/>
        <v>0</v>
      </c>
      <c r="AO47" s="70">
        <f t="shared" si="15"/>
        <v>0</v>
      </c>
      <c r="AP47" s="70">
        <f t="shared" si="15"/>
        <v>0</v>
      </c>
      <c r="AQ47" s="70">
        <f t="shared" si="15"/>
        <v>0</v>
      </c>
      <c r="AR47" s="70">
        <f t="shared" si="15"/>
        <v>0</v>
      </c>
      <c r="AS47" s="70">
        <f t="shared" si="15"/>
        <v>0</v>
      </c>
      <c r="AT47" s="70">
        <f t="shared" si="15"/>
        <v>0</v>
      </c>
      <c r="AU47" s="70">
        <f t="shared" si="15"/>
        <v>0</v>
      </c>
      <c r="AV47" s="70">
        <f t="shared" si="15"/>
        <v>0</v>
      </c>
      <c r="AW47" s="70">
        <f t="shared" si="15"/>
        <v>0</v>
      </c>
      <c r="AX47" s="70">
        <f t="shared" si="15"/>
        <v>0</v>
      </c>
      <c r="AY47" s="70">
        <f t="shared" si="15"/>
        <v>0</v>
      </c>
      <c r="AZ47" s="70">
        <f t="shared" si="15"/>
        <v>0</v>
      </c>
      <c r="BA47" s="70">
        <f t="shared" si="15"/>
        <v>0</v>
      </c>
      <c r="BB47" s="70">
        <f t="shared" si="15"/>
        <v>0</v>
      </c>
      <c r="BC47" s="70">
        <f t="shared" si="15"/>
        <v>0</v>
      </c>
      <c r="BD47" s="70">
        <f t="shared" si="15"/>
        <v>0</v>
      </c>
      <c r="BE47" s="70">
        <f t="shared" si="15"/>
        <v>0</v>
      </c>
      <c r="BF47" s="70">
        <f t="shared" si="15"/>
        <v>0</v>
      </c>
      <c r="BG47" s="70">
        <f t="shared" si="15"/>
        <v>0</v>
      </c>
      <c r="BH47" s="70">
        <f t="shared" si="15"/>
        <v>0</v>
      </c>
      <c r="BI47" s="70">
        <f t="shared" si="15"/>
        <v>0</v>
      </c>
      <c r="BJ47" s="70">
        <f t="shared" si="15"/>
        <v>0</v>
      </c>
      <c r="BK47" s="70">
        <f t="shared" si="15"/>
        <v>0</v>
      </c>
      <c r="BL47" s="70">
        <f t="shared" si="15"/>
        <v>0</v>
      </c>
      <c r="BM47" s="70">
        <f t="shared" si="15"/>
        <v>0</v>
      </c>
      <c r="BN47" s="70">
        <f t="shared" si="15"/>
        <v>0</v>
      </c>
      <c r="BO47" s="70">
        <f t="shared" si="15"/>
        <v>0</v>
      </c>
      <c r="BP47" s="70">
        <f t="shared" si="15"/>
        <v>0</v>
      </c>
      <c r="BQ47" s="70">
        <f t="shared" ref="BQ47" si="16">ROUND(BQ15*BQ$35,0)</f>
        <v>0</v>
      </c>
      <c r="BR47" s="70">
        <f t="shared" si="10"/>
        <v>0</v>
      </c>
      <c r="BS47" s="70">
        <f t="shared" si="10"/>
        <v>0</v>
      </c>
      <c r="BT47" s="70">
        <f t="shared" si="10"/>
        <v>0</v>
      </c>
      <c r="BU47" s="70">
        <f t="shared" si="10"/>
        <v>0</v>
      </c>
      <c r="BV47" s="70">
        <f t="shared" si="10"/>
        <v>0</v>
      </c>
      <c r="BW47" s="70">
        <f t="shared" si="10"/>
        <v>0</v>
      </c>
      <c r="BX47" s="70">
        <f t="shared" si="10"/>
        <v>0</v>
      </c>
      <c r="BY47" s="70">
        <f t="shared" si="10"/>
        <v>0</v>
      </c>
      <c r="BZ47" s="71">
        <f t="shared" si="11"/>
        <v>0</v>
      </c>
    </row>
    <row r="48" spans="1:79" x14ac:dyDescent="0.3">
      <c r="A48" s="68">
        <f t="shared" si="8"/>
        <v>0</v>
      </c>
      <c r="B48" s="68" t="str">
        <f t="shared" si="8"/>
        <v/>
      </c>
      <c r="C48" s="79">
        <f t="shared" si="8"/>
        <v>0</v>
      </c>
      <c r="D48" s="57">
        <f t="shared" si="8"/>
        <v>0</v>
      </c>
      <c r="E48" s="58">
        <f t="shared" si="8"/>
        <v>0</v>
      </c>
      <c r="F48" s="70">
        <f t="shared" ref="F48:BQ48" si="17">ROUND(F16*F$35,0)</f>
        <v>0</v>
      </c>
      <c r="G48" s="70">
        <f t="shared" si="17"/>
        <v>0</v>
      </c>
      <c r="H48" s="70">
        <f t="shared" si="17"/>
        <v>0</v>
      </c>
      <c r="I48" s="70">
        <f t="shared" si="17"/>
        <v>0</v>
      </c>
      <c r="J48" s="70">
        <f t="shared" si="17"/>
        <v>0</v>
      </c>
      <c r="K48" s="70">
        <f t="shared" si="17"/>
        <v>0</v>
      </c>
      <c r="L48" s="70">
        <f t="shared" si="17"/>
        <v>0</v>
      </c>
      <c r="M48" s="70">
        <f t="shared" si="17"/>
        <v>0</v>
      </c>
      <c r="N48" s="70">
        <f t="shared" si="17"/>
        <v>0</v>
      </c>
      <c r="O48" s="70">
        <f t="shared" si="17"/>
        <v>0</v>
      </c>
      <c r="P48" s="70">
        <f t="shared" si="17"/>
        <v>0</v>
      </c>
      <c r="Q48" s="70">
        <f t="shared" si="17"/>
        <v>0</v>
      </c>
      <c r="R48" s="70">
        <f t="shared" si="17"/>
        <v>0</v>
      </c>
      <c r="S48" s="70">
        <f t="shared" si="17"/>
        <v>0</v>
      </c>
      <c r="T48" s="70">
        <f t="shared" si="17"/>
        <v>0</v>
      </c>
      <c r="U48" s="70">
        <f t="shared" si="17"/>
        <v>0</v>
      </c>
      <c r="V48" s="70">
        <f t="shared" si="17"/>
        <v>0</v>
      </c>
      <c r="W48" s="70">
        <f t="shared" si="17"/>
        <v>0</v>
      </c>
      <c r="X48" s="70">
        <f t="shared" si="17"/>
        <v>0</v>
      </c>
      <c r="Y48" s="70">
        <f t="shared" si="17"/>
        <v>0</v>
      </c>
      <c r="Z48" s="70">
        <f t="shared" si="17"/>
        <v>0</v>
      </c>
      <c r="AA48" s="70">
        <f t="shared" si="17"/>
        <v>0</v>
      </c>
      <c r="AB48" s="70">
        <f t="shared" si="17"/>
        <v>0</v>
      </c>
      <c r="AC48" s="70">
        <f t="shared" si="17"/>
        <v>0</v>
      </c>
      <c r="AD48" s="70">
        <f t="shared" si="17"/>
        <v>0</v>
      </c>
      <c r="AE48" s="70">
        <f t="shared" si="17"/>
        <v>0</v>
      </c>
      <c r="AF48" s="70">
        <f t="shared" si="17"/>
        <v>0</v>
      </c>
      <c r="AG48" s="70">
        <f t="shared" si="17"/>
        <v>0</v>
      </c>
      <c r="AH48" s="70">
        <f t="shared" si="17"/>
        <v>0</v>
      </c>
      <c r="AI48" s="70">
        <f t="shared" si="17"/>
        <v>0</v>
      </c>
      <c r="AJ48" s="70">
        <f t="shared" si="17"/>
        <v>0</v>
      </c>
      <c r="AK48" s="70">
        <f t="shared" si="17"/>
        <v>0</v>
      </c>
      <c r="AL48" s="70">
        <f t="shared" si="17"/>
        <v>0</v>
      </c>
      <c r="AM48" s="70">
        <f t="shared" si="17"/>
        <v>0</v>
      </c>
      <c r="AN48" s="70">
        <f t="shared" si="17"/>
        <v>0</v>
      </c>
      <c r="AO48" s="70">
        <f t="shared" si="17"/>
        <v>0</v>
      </c>
      <c r="AP48" s="70">
        <f t="shared" si="17"/>
        <v>0</v>
      </c>
      <c r="AQ48" s="70">
        <f t="shared" si="17"/>
        <v>0</v>
      </c>
      <c r="AR48" s="70">
        <f t="shared" si="17"/>
        <v>0</v>
      </c>
      <c r="AS48" s="70">
        <f t="shared" si="17"/>
        <v>0</v>
      </c>
      <c r="AT48" s="70">
        <f t="shared" si="17"/>
        <v>0</v>
      </c>
      <c r="AU48" s="70">
        <f t="shared" si="17"/>
        <v>0</v>
      </c>
      <c r="AV48" s="70">
        <f t="shared" si="17"/>
        <v>0</v>
      </c>
      <c r="AW48" s="70">
        <f t="shared" si="17"/>
        <v>0</v>
      </c>
      <c r="AX48" s="70">
        <f t="shared" si="17"/>
        <v>0</v>
      </c>
      <c r="AY48" s="70">
        <f t="shared" si="17"/>
        <v>0</v>
      </c>
      <c r="AZ48" s="70">
        <f t="shared" si="17"/>
        <v>0</v>
      </c>
      <c r="BA48" s="70">
        <f t="shared" si="17"/>
        <v>0</v>
      </c>
      <c r="BB48" s="70">
        <f t="shared" si="17"/>
        <v>0</v>
      </c>
      <c r="BC48" s="70">
        <f t="shared" si="17"/>
        <v>0</v>
      </c>
      <c r="BD48" s="70">
        <f t="shared" si="17"/>
        <v>0</v>
      </c>
      <c r="BE48" s="70">
        <f t="shared" si="17"/>
        <v>0</v>
      </c>
      <c r="BF48" s="70">
        <f t="shared" si="17"/>
        <v>0</v>
      </c>
      <c r="BG48" s="70">
        <f t="shared" si="17"/>
        <v>0</v>
      </c>
      <c r="BH48" s="70">
        <f t="shared" si="17"/>
        <v>0</v>
      </c>
      <c r="BI48" s="70">
        <f t="shared" si="17"/>
        <v>0</v>
      </c>
      <c r="BJ48" s="70">
        <f t="shared" si="17"/>
        <v>0</v>
      </c>
      <c r="BK48" s="70">
        <f t="shared" si="17"/>
        <v>0</v>
      </c>
      <c r="BL48" s="70">
        <f t="shared" si="17"/>
        <v>0</v>
      </c>
      <c r="BM48" s="70">
        <f t="shared" si="17"/>
        <v>0</v>
      </c>
      <c r="BN48" s="70">
        <f t="shared" si="17"/>
        <v>0</v>
      </c>
      <c r="BO48" s="70">
        <f t="shared" si="17"/>
        <v>0</v>
      </c>
      <c r="BP48" s="70">
        <f t="shared" si="17"/>
        <v>0</v>
      </c>
      <c r="BQ48" s="70">
        <f t="shared" si="17"/>
        <v>0</v>
      </c>
      <c r="BR48" s="70">
        <f t="shared" si="10"/>
        <v>0</v>
      </c>
      <c r="BS48" s="70">
        <f t="shared" si="10"/>
        <v>0</v>
      </c>
      <c r="BT48" s="70">
        <f t="shared" si="10"/>
        <v>0</v>
      </c>
      <c r="BU48" s="70">
        <f t="shared" si="10"/>
        <v>0</v>
      </c>
      <c r="BV48" s="70">
        <f t="shared" si="10"/>
        <v>0</v>
      </c>
      <c r="BW48" s="70">
        <f t="shared" si="10"/>
        <v>0</v>
      </c>
      <c r="BX48" s="70">
        <f t="shared" si="10"/>
        <v>0</v>
      </c>
      <c r="BY48" s="70">
        <f t="shared" si="10"/>
        <v>0</v>
      </c>
      <c r="BZ48" s="71">
        <f t="shared" si="11"/>
        <v>0</v>
      </c>
    </row>
    <row r="49" spans="1:79" x14ac:dyDescent="0.3">
      <c r="A49" s="80" t="s">
        <v>43</v>
      </c>
      <c r="B49" s="62"/>
      <c r="C49" s="62"/>
      <c r="D49" s="62"/>
      <c r="E49" s="62"/>
      <c r="F49" s="81">
        <f t="shared" ref="F49:BQ49" si="18">SUM(F36:F48)</f>
        <v>0</v>
      </c>
      <c r="G49" s="81">
        <f t="shared" si="18"/>
        <v>0</v>
      </c>
      <c r="H49" s="81">
        <f t="shared" si="18"/>
        <v>0</v>
      </c>
      <c r="I49" s="81">
        <f t="shared" si="18"/>
        <v>0</v>
      </c>
      <c r="J49" s="81">
        <f t="shared" si="18"/>
        <v>0</v>
      </c>
      <c r="K49" s="81">
        <f t="shared" si="18"/>
        <v>0</v>
      </c>
      <c r="L49" s="81">
        <f t="shared" si="18"/>
        <v>0</v>
      </c>
      <c r="M49" s="81">
        <f t="shared" si="18"/>
        <v>0</v>
      </c>
      <c r="N49" s="81">
        <f t="shared" si="18"/>
        <v>0</v>
      </c>
      <c r="O49" s="81">
        <f t="shared" si="18"/>
        <v>0</v>
      </c>
      <c r="P49" s="81">
        <f t="shared" si="18"/>
        <v>0</v>
      </c>
      <c r="Q49" s="81">
        <f t="shared" si="18"/>
        <v>0</v>
      </c>
      <c r="R49" s="81">
        <f t="shared" si="18"/>
        <v>0</v>
      </c>
      <c r="S49" s="81">
        <f t="shared" si="18"/>
        <v>0</v>
      </c>
      <c r="T49" s="81">
        <f t="shared" si="18"/>
        <v>0</v>
      </c>
      <c r="U49" s="81">
        <f t="shared" si="18"/>
        <v>0</v>
      </c>
      <c r="V49" s="81">
        <f t="shared" si="18"/>
        <v>0</v>
      </c>
      <c r="W49" s="81">
        <f t="shared" si="18"/>
        <v>0</v>
      </c>
      <c r="X49" s="81">
        <f t="shared" si="18"/>
        <v>0</v>
      </c>
      <c r="Y49" s="81">
        <f t="shared" si="18"/>
        <v>0</v>
      </c>
      <c r="Z49" s="81">
        <f t="shared" si="18"/>
        <v>0</v>
      </c>
      <c r="AA49" s="81">
        <f t="shared" si="18"/>
        <v>0</v>
      </c>
      <c r="AB49" s="81">
        <f t="shared" si="18"/>
        <v>0</v>
      </c>
      <c r="AC49" s="81">
        <f t="shared" si="18"/>
        <v>40</v>
      </c>
      <c r="AD49" s="81">
        <f t="shared" si="18"/>
        <v>30</v>
      </c>
      <c r="AE49" s="81">
        <f t="shared" si="18"/>
        <v>80</v>
      </c>
      <c r="AF49" s="81">
        <f t="shared" si="18"/>
        <v>82</v>
      </c>
      <c r="AG49" s="81">
        <f t="shared" si="18"/>
        <v>53</v>
      </c>
      <c r="AH49" s="81">
        <f t="shared" si="18"/>
        <v>119</v>
      </c>
      <c r="AI49" s="81">
        <f t="shared" si="18"/>
        <v>430</v>
      </c>
      <c r="AJ49" s="81">
        <f t="shared" si="18"/>
        <v>73</v>
      </c>
      <c r="AK49" s="81">
        <f t="shared" si="18"/>
        <v>154</v>
      </c>
      <c r="AL49" s="81">
        <f t="shared" si="18"/>
        <v>137</v>
      </c>
      <c r="AM49" s="81">
        <f t="shared" si="18"/>
        <v>50</v>
      </c>
      <c r="AN49" s="81">
        <f t="shared" si="18"/>
        <v>47</v>
      </c>
      <c r="AO49" s="81">
        <f t="shared" si="18"/>
        <v>60</v>
      </c>
      <c r="AP49" s="81">
        <f t="shared" si="18"/>
        <v>0</v>
      </c>
      <c r="AQ49" s="81">
        <f t="shared" si="18"/>
        <v>0</v>
      </c>
      <c r="AR49" s="81">
        <f t="shared" si="18"/>
        <v>0</v>
      </c>
      <c r="AS49" s="81">
        <f t="shared" si="18"/>
        <v>0</v>
      </c>
      <c r="AT49" s="81">
        <f t="shared" si="18"/>
        <v>0</v>
      </c>
      <c r="AU49" s="81">
        <f t="shared" si="18"/>
        <v>0</v>
      </c>
      <c r="AV49" s="81">
        <f t="shared" si="18"/>
        <v>0</v>
      </c>
      <c r="AW49" s="81">
        <f t="shared" si="18"/>
        <v>0</v>
      </c>
      <c r="AX49" s="81">
        <f t="shared" si="18"/>
        <v>0</v>
      </c>
      <c r="AY49" s="81">
        <f t="shared" si="18"/>
        <v>0</v>
      </c>
      <c r="AZ49" s="81">
        <f t="shared" si="18"/>
        <v>0</v>
      </c>
      <c r="BA49" s="81">
        <f t="shared" si="18"/>
        <v>0</v>
      </c>
      <c r="BB49" s="81">
        <f t="shared" si="18"/>
        <v>0</v>
      </c>
      <c r="BC49" s="81">
        <f t="shared" si="18"/>
        <v>0</v>
      </c>
      <c r="BD49" s="81">
        <f t="shared" si="18"/>
        <v>0</v>
      </c>
      <c r="BE49" s="81">
        <f t="shared" si="18"/>
        <v>0</v>
      </c>
      <c r="BF49" s="81">
        <f t="shared" si="18"/>
        <v>0</v>
      </c>
      <c r="BG49" s="81">
        <f t="shared" si="18"/>
        <v>0</v>
      </c>
      <c r="BH49" s="81">
        <f t="shared" si="18"/>
        <v>0</v>
      </c>
      <c r="BI49" s="81">
        <f t="shared" si="18"/>
        <v>0</v>
      </c>
      <c r="BJ49" s="81">
        <f t="shared" si="18"/>
        <v>0</v>
      </c>
      <c r="BK49" s="81">
        <f t="shared" si="18"/>
        <v>0</v>
      </c>
      <c r="BL49" s="81">
        <f t="shared" si="18"/>
        <v>0</v>
      </c>
      <c r="BM49" s="81">
        <f t="shared" si="18"/>
        <v>0</v>
      </c>
      <c r="BN49" s="81">
        <f t="shared" si="18"/>
        <v>0</v>
      </c>
      <c r="BO49" s="81">
        <f t="shared" si="18"/>
        <v>0</v>
      </c>
      <c r="BP49" s="81">
        <f t="shared" si="18"/>
        <v>0</v>
      </c>
      <c r="BQ49" s="81">
        <f t="shared" si="18"/>
        <v>0</v>
      </c>
      <c r="BR49" s="81">
        <f t="shared" ref="BR49:BY49" si="19">SUM(BR36:BR48)</f>
        <v>0</v>
      </c>
      <c r="BS49" s="81">
        <f t="shared" si="19"/>
        <v>0</v>
      </c>
      <c r="BT49" s="81">
        <f t="shared" si="19"/>
        <v>0</v>
      </c>
      <c r="BU49" s="81">
        <f t="shared" si="19"/>
        <v>0</v>
      </c>
      <c r="BV49" s="81">
        <f t="shared" si="19"/>
        <v>0</v>
      </c>
      <c r="BW49" s="81">
        <f t="shared" si="19"/>
        <v>0</v>
      </c>
      <c r="BX49" s="81">
        <f t="shared" si="19"/>
        <v>0</v>
      </c>
      <c r="BY49" s="81">
        <f t="shared" si="19"/>
        <v>0</v>
      </c>
      <c r="BZ49" s="82">
        <f t="shared" si="11"/>
        <v>1355</v>
      </c>
      <c r="CA49" s="83"/>
    </row>
    <row r="52" spans="1:79" x14ac:dyDescent="0.3">
      <c r="A52" s="84" t="s">
        <v>48</v>
      </c>
    </row>
    <row r="54" spans="1:79" ht="28.8" x14ac:dyDescent="0.3">
      <c r="A54" s="85" t="s">
        <v>49</v>
      </c>
    </row>
    <row r="56" spans="1:79" ht="57.6" x14ac:dyDescent="0.3">
      <c r="A56" s="86" t="s">
        <v>50</v>
      </c>
    </row>
  </sheetData>
  <mergeCells count="3">
    <mergeCell ref="A3:E3"/>
    <mergeCell ref="A19:E19"/>
    <mergeCell ref="A35:E35"/>
  </mergeCells>
  <conditionalFormatting sqref="F4:BY16">
    <cfRule type="cellIs" dxfId="12" priority="1" operator="greaterThan">
      <formula>0</formula>
    </cfRule>
  </conditionalFormatting>
  <conditionalFormatting sqref="F20:BY32">
    <cfRule type="cellIs" dxfId="11" priority="10" operator="greaterThan">
      <formula>0</formula>
    </cfRule>
  </conditionalFormatting>
  <conditionalFormatting sqref="F36:BY48">
    <cfRule type="cellIs" dxfId="10" priority="6" operator="greaterThan">
      <formula>0</formula>
    </cfRule>
  </conditionalFormatting>
  <conditionalFormatting sqref="F20:BZ32 F4:BZ16">
    <cfRule type="expression" dxfId="9" priority="12">
      <formula>IFERROR(VLOOKUP(#REF!,$A$3:$AQ$17,COLUMN(F4),FALSE)-VLOOKUP(#REF!,#REF!,COLUMN(#REF!),FALSE),0)</formula>
    </cfRule>
  </conditionalFormatting>
  <conditionalFormatting sqref="F36:BZ48">
    <cfRule type="expression" dxfId="8" priority="7">
      <formula>IFERROR(VLOOKUP(#REF!,$A$3:$AQ$17,COLUMN(F36),FALSE)-VLOOKUP(#REF!,#REF!,COLUMN(#REF!),FALSE),0)</formula>
    </cfRule>
  </conditionalFormatting>
  <conditionalFormatting sqref="G19:BY19">
    <cfRule type="timePeriod" dxfId="7" priority="9" timePeriod="thisWeek">
      <formula>AND(TODAY()-ROUNDDOWN(G19,0)&lt;=WEEKDAY(TODAY())-1,ROUNDDOWN(G19,0)-TODAY()&lt;=7-WEEKDAY(TODAY()))</formula>
    </cfRule>
  </conditionalFormatting>
  <conditionalFormatting sqref="G35:BY35">
    <cfRule type="timePeriod" dxfId="6" priority="8" timePeriod="thisWeek">
      <formula>AND(TODAY()-ROUNDDOWN(G35,0)&lt;=WEEKDAY(TODAY())-1,ROUNDDOWN(G35,0)-TODAY()&lt;=7-WEEKDAY(TODAY()))</formula>
    </cfRule>
  </conditionalFormatting>
  <conditionalFormatting sqref="K5:Y6">
    <cfRule type="expression" dxfId="5" priority="11">
      <formula>IFERROR(VLOOKUP(#REF!,$A$3:$AQ$17,COLUMN(K5),FALSE)-VLOOKUP(#REF!,#REF!,COLUMN(#REF!),FALSE),0)</formula>
    </cfRule>
  </conditionalFormatting>
  <conditionalFormatting sqref="R1:U1">
    <cfRule type="timePeriod" dxfId="4" priority="5" timePeriod="thisWeek">
      <formula>AND(TODAY()-ROUNDDOWN(R1,0)&lt;=WEEKDAY(TODAY())-1,ROUNDDOWN(R1,0)-TODAY()&lt;=7-WEEKDAY(TODAY()))</formula>
    </cfRule>
  </conditionalFormatting>
  <conditionalFormatting sqref="W1 Y1:Z1 AB1:AG1">
    <cfRule type="timePeriod" dxfId="3" priority="4" timePeriod="thisWeek">
      <formula>AND(TODAY()-ROUNDDOWN(W1,0)&lt;=WEEKDAY(TODAY())-1,ROUNDDOWN(W1,0)-TODAY()&lt;=7-WEEKDAY(TODAY()))</formula>
    </cfRule>
  </conditionalFormatting>
  <conditionalFormatting sqref="AI1:AS1">
    <cfRule type="timePeriod" dxfId="2" priority="3" timePeriod="thisWeek">
      <formula>AND(TODAY()-ROUNDDOWN(AI1,0)&lt;=WEEKDAY(TODAY())-1,ROUNDDOWN(AI1,0)-TODAY()&lt;=7-WEEKDAY(TODAY()))</formula>
    </cfRule>
  </conditionalFormatting>
  <conditionalFormatting sqref="AO29:BY32">
    <cfRule type="expression" dxfId="1" priority="13">
      <formula>IFERROR(VLOOKUP(#REF!,$A$3:$AQ$17,COLUMN(AO29),FALSE)-VLOOKUP(#REF!,#REF!,COLUMN(#REF!),FALSE),0)</formula>
    </cfRule>
  </conditionalFormatting>
  <conditionalFormatting sqref="AU1:BZ1">
    <cfRule type="timePeriod" dxfId="0" priority="2" timePeriod="thisWeek">
      <formula>AND(TODAY()-ROUNDDOWN(AU1,0)&lt;=WEEKDAY(TODAY())-1,ROUNDDOWN(AU1,0)-TODAY()&lt;=7-WEEKDAY(TODAY()))</formula>
    </cfRule>
  </conditionalFormatting>
  <dataValidations disablePrompts="1" count="1">
    <dataValidation allowBlank="1" showInputMessage="1" sqref="A4:A16" xr:uid="{547D0391-C086-4D64-950A-0F22A1FF3B07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84A3-BC89-4C7C-B258-6F41C0FAAA73}">
  <dimension ref="A1:B25"/>
  <sheetViews>
    <sheetView topLeftCell="A4" workbookViewId="0">
      <selection activeCell="E28" sqref="E28"/>
    </sheetView>
  </sheetViews>
  <sheetFormatPr defaultRowHeight="14.4" x14ac:dyDescent="0.3"/>
  <sheetData>
    <row r="1" spans="1:2" x14ac:dyDescent="0.3">
      <c r="A1" s="1">
        <v>45627</v>
      </c>
      <c r="B1">
        <v>168</v>
      </c>
    </row>
    <row r="2" spans="1:2" x14ac:dyDescent="0.3">
      <c r="A2" s="1">
        <v>45658</v>
      </c>
      <c r="B2">
        <v>136</v>
      </c>
    </row>
    <row r="3" spans="1:2" x14ac:dyDescent="0.3">
      <c r="A3" s="1">
        <v>45689</v>
      </c>
      <c r="B3">
        <v>160</v>
      </c>
    </row>
    <row r="4" spans="1:2" x14ac:dyDescent="0.3">
      <c r="A4" s="1">
        <v>45717</v>
      </c>
      <c r="B4">
        <v>167</v>
      </c>
    </row>
    <row r="5" spans="1:2" x14ac:dyDescent="0.3">
      <c r="A5" s="1">
        <v>45748</v>
      </c>
      <c r="B5">
        <v>175</v>
      </c>
    </row>
    <row r="6" spans="1:2" x14ac:dyDescent="0.3">
      <c r="A6" s="1">
        <v>45778</v>
      </c>
      <c r="B6">
        <v>144</v>
      </c>
    </row>
    <row r="7" spans="1:2" x14ac:dyDescent="0.3">
      <c r="A7" s="1">
        <v>45809</v>
      </c>
      <c r="B7">
        <v>151</v>
      </c>
    </row>
    <row r="8" spans="1:2" x14ac:dyDescent="0.3">
      <c r="A8" s="1">
        <v>45839</v>
      </c>
      <c r="B8">
        <v>184</v>
      </c>
    </row>
    <row r="9" spans="1:2" x14ac:dyDescent="0.3">
      <c r="A9" s="1">
        <v>45870</v>
      </c>
      <c r="B9">
        <v>168</v>
      </c>
    </row>
    <row r="10" spans="1:2" x14ac:dyDescent="0.3">
      <c r="A10" s="1">
        <v>45901</v>
      </c>
      <c r="B10">
        <v>176</v>
      </c>
    </row>
    <row r="11" spans="1:2" x14ac:dyDescent="0.3">
      <c r="A11" s="1">
        <v>45931</v>
      </c>
      <c r="B11">
        <v>184</v>
      </c>
    </row>
    <row r="12" spans="1:2" x14ac:dyDescent="0.3">
      <c r="A12" s="1">
        <v>45962</v>
      </c>
      <c r="B12">
        <v>151</v>
      </c>
    </row>
    <row r="13" spans="1:2" x14ac:dyDescent="0.3">
      <c r="A13" s="1">
        <v>45992</v>
      </c>
      <c r="B13">
        <v>176</v>
      </c>
    </row>
    <row r="14" spans="1:2" x14ac:dyDescent="0.3">
      <c r="A14" s="1">
        <v>46023</v>
      </c>
      <c r="B14">
        <v>120</v>
      </c>
    </row>
    <row r="15" spans="1:2" x14ac:dyDescent="0.3">
      <c r="A15" s="1">
        <v>46054</v>
      </c>
      <c r="B15">
        <v>152</v>
      </c>
    </row>
    <row r="16" spans="1:2" x14ac:dyDescent="0.3">
      <c r="A16" s="1">
        <v>46082</v>
      </c>
      <c r="B16">
        <v>168</v>
      </c>
    </row>
    <row r="17" spans="1:2" x14ac:dyDescent="0.3">
      <c r="A17" s="1">
        <v>46113</v>
      </c>
      <c r="B17">
        <v>175</v>
      </c>
    </row>
    <row r="18" spans="1:2" x14ac:dyDescent="0.3">
      <c r="A18" s="1">
        <v>46143</v>
      </c>
      <c r="B18">
        <v>151</v>
      </c>
    </row>
    <row r="19" spans="1:2" x14ac:dyDescent="0.3">
      <c r="A19" s="1">
        <v>46174</v>
      </c>
      <c r="B19">
        <v>167</v>
      </c>
    </row>
    <row r="20" spans="1:2" x14ac:dyDescent="0.3">
      <c r="A20" s="1">
        <v>46204</v>
      </c>
      <c r="B20">
        <v>184</v>
      </c>
    </row>
    <row r="21" spans="1:2" x14ac:dyDescent="0.3">
      <c r="A21" s="1">
        <v>46235</v>
      </c>
      <c r="B21">
        <v>168</v>
      </c>
    </row>
    <row r="22" spans="1:2" x14ac:dyDescent="0.3">
      <c r="A22" s="1">
        <v>46266</v>
      </c>
      <c r="B22">
        <v>176</v>
      </c>
    </row>
    <row r="23" spans="1:2" x14ac:dyDescent="0.3">
      <c r="A23" s="1">
        <v>46296</v>
      </c>
      <c r="B23">
        <v>176</v>
      </c>
    </row>
    <row r="24" spans="1:2" x14ac:dyDescent="0.3">
      <c r="A24" s="1">
        <v>46327</v>
      </c>
      <c r="B24">
        <v>159</v>
      </c>
    </row>
    <row r="25" spans="1:2" x14ac:dyDescent="0.3">
      <c r="A25" s="1">
        <v>46357</v>
      </c>
      <c r="B25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выдержка</vt:lpstr>
      <vt:lpstr>расчеты_T&amp;M</vt:lpstr>
      <vt:lpstr>расчеты_FIX</vt:lpstr>
      <vt:lpstr>Часы VS ФП</vt:lpstr>
      <vt:lpstr>шаблон расчета проекта</vt:lpstr>
      <vt:lpstr>технический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ОЕА</cp:lastModifiedBy>
  <dcterms:created xsi:type="dcterms:W3CDTF">2023-08-01T10:35:00Z</dcterms:created>
  <dcterms:modified xsi:type="dcterms:W3CDTF">2026-08-02T20:16:28Z</dcterms:modified>
</cp:coreProperties>
</file>